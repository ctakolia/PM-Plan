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-105" yWindow="-105" windowWidth="23250" windowHeight="12450" tabRatio="831"/>
  </bookViews>
  <sheets>
    <sheet name="Job list" sheetId="19" r:id="rId1"/>
    <sheet name="NA" sheetId="1" r:id="rId2"/>
  </sheets>
  <definedNames>
    <definedName name="_xlnm._FilterDatabase" localSheetId="0" hidden="1">'Job list'!$A$1:$D$379</definedName>
    <definedName name="_xlnm._FilterDatabase" localSheetId="1" hidden="1">NA!$B$2:$L$12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 l="1"/>
  <c r="B11" i="1"/>
  <c r="B12" i="1"/>
  <c r="I11" i="1" l="1"/>
  <c r="B4" i="1" l="1"/>
  <c r="B5" i="1"/>
  <c r="B6" i="1"/>
  <c r="B7" i="1"/>
  <c r="O2" i="1" l="1"/>
</calcChain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<sst xmlns="http://schemas.openxmlformats.org/spreadsheetml/2006/main" count="1556" uniqueCount="547">
  <si>
    <t>CTCM</t>
  </si>
  <si>
    <t>P1</t>
  </si>
  <si>
    <t>Sanjay</t>
  </si>
  <si>
    <t>Rakesh</t>
  </si>
  <si>
    <t>Siva</t>
  </si>
  <si>
    <t>Jignesh</t>
  </si>
  <si>
    <t>Jose</t>
  </si>
  <si>
    <t>Responsibility</t>
  </si>
  <si>
    <t>Status</t>
  </si>
  <si>
    <t>One Time</t>
  </si>
  <si>
    <t>Nishant</t>
  </si>
  <si>
    <t>Every 15 Days</t>
  </si>
  <si>
    <t>Aditya</t>
  </si>
  <si>
    <t>Weekly SMS</t>
  </si>
  <si>
    <t>CTCM and CRM-1 ECR and HT room lighting to be check and repair</t>
  </si>
  <si>
    <t>CRM-1 single and Three phase socket condition to be check.</t>
  </si>
  <si>
    <t>Priority</t>
  </si>
  <si>
    <t>Area</t>
  </si>
  <si>
    <t>CRM-1</t>
  </si>
  <si>
    <t>Rolling</t>
  </si>
  <si>
    <t>Lights status to be check &amp; provide in CTCM and CRM-1 Oil Cellar.</t>
  </si>
  <si>
    <t>Lights status to be check &amp; provide in CTCM and CRM-1 Cable Cellar.</t>
  </si>
  <si>
    <t>Lighting status to check and provide in CRM-1 and CTCM ECR.</t>
  </si>
  <si>
    <t>Kalpesh</t>
  </si>
  <si>
    <t>Prakash</t>
  </si>
  <si>
    <t>Sr. No.</t>
  </si>
  <si>
    <t>Shivam</t>
  </si>
  <si>
    <t>Thermo Gauge spare and updated drawing to be check.</t>
  </si>
  <si>
    <t>Arpit</t>
  </si>
  <si>
    <t>Pending</t>
  </si>
  <si>
    <t>Vishal</t>
  </si>
  <si>
    <t>Pending Task Detail</t>
  </si>
  <si>
    <t>Task Frequency</t>
  </si>
  <si>
    <t>Daily trafo report to be updated.</t>
  </si>
  <si>
    <t>Mill top instrument inspection to be done.</t>
  </si>
  <si>
    <t>CTCM all ECR to be arrange as per 5'S SOP &amp; status to be update.</t>
  </si>
  <si>
    <t>Scrape to be send every Sunday (Electrical, Lighting, Wooden, Plastic etc)</t>
  </si>
  <si>
    <t>Due Date</t>
  </si>
  <si>
    <t>ECR False ceiling job to be done.</t>
  </si>
  <si>
    <t>CTCM and CRM-1 caller water sprinkler trial to be taken.</t>
  </si>
  <si>
    <t>Mill Top RIO Maint</t>
  </si>
  <si>
    <t>Hydrostatic motor maint job</t>
  </si>
  <si>
    <t>Mill stand transformer maint job.</t>
  </si>
  <si>
    <t>Br-1 &amp; 2 Motor Maint</t>
  </si>
  <si>
    <t>Br-3 &amp; 4 Motor Maint</t>
  </si>
  <si>
    <t>Exit Inspection area motor maint</t>
  </si>
  <si>
    <t>Roll coolant supply pump motor maint</t>
  </si>
  <si>
    <t>All Agitator Motor maint</t>
  </si>
  <si>
    <t>AC drive TSU Capacitor to be check.</t>
  </si>
  <si>
    <t>Step7 PLC Latest backup to be taken.</t>
  </si>
  <si>
    <t>Roll Collant AC Motor2 Maint &amp; Greasing</t>
  </si>
  <si>
    <t>Interstand Tensiometer Maintenance</t>
  </si>
  <si>
    <t>Transformer Maintenance</t>
  </si>
  <si>
    <t>Briddle Motors Maintenance &amp; Greasing</t>
  </si>
  <si>
    <t>CTCM UPS BATRY REPLACEMENT</t>
  </si>
  <si>
    <t>Entry AC Motor Maint &amp; Greasing</t>
  </si>
  <si>
    <t>Exit AC Motor Maint &amp; Greasing</t>
  </si>
  <si>
    <t>HT Panel, Breaker, Busbar Maintenace</t>
  </si>
  <si>
    <t>Looper &amp; FS AC Motor Maint &amp; Grease</t>
  </si>
  <si>
    <t>O/Cllar Sysems2 ACMotor Maint &amp; Greasing</t>
  </si>
  <si>
    <t>O/Cllar Sysems3 ACMotor Maint &amp; Greasing</t>
  </si>
  <si>
    <t>PCC Maintenance</t>
  </si>
  <si>
    <t>RackPanel Maintenance</t>
  </si>
  <si>
    <t>Roll Collant AC Motor1 Maintenance</t>
  </si>
  <si>
    <t>REACTOR MAINTENANCE</t>
  </si>
  <si>
    <t>Stand Field Devices Maintenance</t>
  </si>
  <si>
    <t>UPS &amp; Battery Bank Maintenance</t>
  </si>
  <si>
    <t>Welder RIO Panel Maintenance</t>
  </si>
  <si>
    <t>Small Aux AC Motor Maintenance</t>
  </si>
  <si>
    <t>Elect Auxiliary System Maintenance</t>
  </si>
  <si>
    <t>Control Desk1 Maintenance</t>
  </si>
  <si>
    <t>Control Desk2 Maintenance</t>
  </si>
  <si>
    <t>DC Drive Maintenance</t>
  </si>
  <si>
    <t>Exhaust AC Motor Maint &amp; Greasing</t>
  </si>
  <si>
    <t>ENT,EXT,WLDR Field Devices Maintenance</t>
  </si>
  <si>
    <t>IMS Gauge Maintenance</t>
  </si>
  <si>
    <t>MDB/PDB Maintenance</t>
  </si>
  <si>
    <t>Mill RIO Panel Maintenance</t>
  </si>
  <si>
    <t>MV Drive panel Maintenance</t>
  </si>
  <si>
    <t>MV Motor Maintenance &amp; Greasing</t>
  </si>
  <si>
    <t>O/Cllar Sysems1 ACMotor Maint &amp; Greasing</t>
  </si>
  <si>
    <t>CTCM _ALL_CABLE INSPECTION</t>
  </si>
  <si>
    <t>CTCM_ALL_PNAEL/JB HOT BLOWER</t>
  </si>
  <si>
    <t>Planicim Panel Maintenance</t>
  </si>
  <si>
    <t>PLC Panel Maintenance</t>
  </si>
  <si>
    <t>Steering Unit Maintenance</t>
  </si>
  <si>
    <t>Systems Field Devices Maintenance</t>
  </si>
  <si>
    <t>THERMOGRAPHY in ALL CTCM PANELS</t>
  </si>
  <si>
    <t>RollCollant MCC Maintenance</t>
  </si>
  <si>
    <t>AC Drives Panel Maintenance</t>
  </si>
  <si>
    <t>CTCM COTC CRD CABLE REPLACEMENT</t>
  </si>
  <si>
    <t>CTCM EXCC_1 DRAG CABLE REPLACEMENT</t>
  </si>
  <si>
    <t>CTCM EXCC_2 DRAG CABLE REPLACEMENT</t>
  </si>
  <si>
    <t>CTCM CROSS CAR DRAG CABLE REPLACEMENT</t>
  </si>
  <si>
    <t>CTCM INSP CC DRAG CABLE REPLACEMNT</t>
  </si>
  <si>
    <t>CTCM X0 GAUGE DRAG CABLE REPLACEMENT</t>
  </si>
  <si>
    <t>CTCM X1 GAUGE DRAG CABLE REPLACEMENT</t>
  </si>
  <si>
    <t>CTCM X5A GAUGE DRAG CABLE REPLACEMENT</t>
  </si>
  <si>
    <t>CTCM X5B GAUGE DRAG CABLE REPLACEMENT</t>
  </si>
  <si>
    <t>DCM Cooling ACM Maint &amp; Greasing</t>
  </si>
  <si>
    <t>CTCM ENCC DRAG CHAIN REPLACEMENT</t>
  </si>
  <si>
    <t>CTCM EXCC_1 DRAG CHAIN REPLACEMENT</t>
  </si>
  <si>
    <t>CTCM EXCC_2 DRAG CHAIN REPLACEMENT</t>
  </si>
  <si>
    <t>CTCM CROSS CAR DRAG CHAIN REPLACEMENT</t>
  </si>
  <si>
    <t>CTCM INSP CC DRAG CHAIN REPLACEMNT</t>
  </si>
  <si>
    <t>CTCM X0 GAUGE DRAG CHAIN REPLACEMENT</t>
  </si>
  <si>
    <t>CTCM X1 GAUGE DRAG CHAIN REPLACEMENT</t>
  </si>
  <si>
    <t>CTCM X5A GAUGE DRAG CHAIN REPLACEMENT</t>
  </si>
  <si>
    <t>CTCM X5B GAUGE DRAG CHAIN REPLACEMENT</t>
  </si>
  <si>
    <t>ECR MCC Maintenance</t>
  </si>
  <si>
    <t>RC &amp; Other Field Devices Maintenance</t>
  </si>
  <si>
    <t>CTCM STAND-1 DC MOTOR HOLDER REPLACEMENT</t>
  </si>
  <si>
    <t>CTCM STAND-2 DC MOTOR HOLDER REPLACEMENT</t>
  </si>
  <si>
    <t>CTCM STAND-3 DC MOTOR HOLDER REPLACEMENT</t>
  </si>
  <si>
    <t>CTCM STAND-4 DC MOTOR HOLDER REPLACEMENT</t>
  </si>
  <si>
    <t>MILL DCMOTOR GREASING Stnd 12</t>
  </si>
  <si>
    <t>MILL DCMOTOR GREASING Stnd 34</t>
  </si>
  <si>
    <t>OilCellar MCC Maintenance</t>
  </si>
  <si>
    <t>CTCM STD_1 SONY_SCALE REPLACEMENT</t>
  </si>
  <si>
    <t>CTCM STD_2 SONY_SCALE REPLACEMENT</t>
  </si>
  <si>
    <t>CTCM STD_3 SONY_SCALE REPLACEMENT</t>
  </si>
  <si>
    <t>CTCM STD_4 SONY_SCALE REPLACEMENT</t>
  </si>
  <si>
    <t>CTCM STD_5 SONY_SCALE REPLACEMENT</t>
  </si>
  <si>
    <t>Welder Trafo Heat Exh Flushing &amp; Maint</t>
  </si>
  <si>
    <t>Welder Bigpanel Maintenance</t>
  </si>
  <si>
    <t>CTCM LUBRICATION SYSTEM MOTORS</t>
  </si>
  <si>
    <t>CTCM ROLL COOLANT MOTORS</t>
  </si>
  <si>
    <t>CTCM HYDROLIC SYSTEM MOTORS</t>
  </si>
  <si>
    <t>HSDCCB, DBR and DBC MAINTENANCE</t>
  </si>
  <si>
    <t>Oil Cellar MCC-1 Main and Cleaning</t>
  </si>
  <si>
    <t>Oil Cellar MCC-2 Maint and Cleaning.</t>
  </si>
  <si>
    <t>Oil Cellar EMCC Maint and Cleaning.</t>
  </si>
  <si>
    <t>CTCM FUME EXHUST-3 Motor and Power JB Maint</t>
  </si>
  <si>
    <t>Thyristor Panel Maintenance</t>
  </si>
  <si>
    <t>THERMOGRAPHY FOR CRM-1 PANELS</t>
  </si>
  <si>
    <t>THERMO GAUGE Maintenance</t>
  </si>
  <si>
    <t>Special Panels Maintenance</t>
  </si>
  <si>
    <t>Small DC Motor Maintenance</t>
  </si>
  <si>
    <t>Reactor Room Reactor &amp; HSCB maintenance</t>
  </si>
  <si>
    <t>PCC/MPCC Maintenance</t>
  </si>
  <si>
    <t>OilCellar Field Maintenance</t>
  </si>
  <si>
    <t>OilCellar AC Motor Maintenance</t>
  </si>
  <si>
    <t>Mill Field Device Maintenance</t>
  </si>
  <si>
    <t>Mech Greasing Equipments Maintenance</t>
  </si>
  <si>
    <t>MCC Maintenance</t>
  </si>
  <si>
    <t>Magnetic Crane Maintenance</t>
  </si>
  <si>
    <t>HT Breaker &amp;Panel Maintenance</t>
  </si>
  <si>
    <t>CTCM Fire Alarm System Maintenance</t>
  </si>
  <si>
    <t>CRM-1 Fire Alarm System Maintenance</t>
  </si>
  <si>
    <t>DRM1 MILL FLD DRV THY REPLACEMENT</t>
  </si>
  <si>
    <t>CTCM STAND-4 DC MOTOR BRUSH REPLACEMENT</t>
  </si>
  <si>
    <t>CTCM STAND-3 DC MOTOR BRUSH REPLACEMENT</t>
  </si>
  <si>
    <t>CTCM STAND-2 DC MOTOR BRUSH REPLACEMENT</t>
  </si>
  <si>
    <t>CTCM STAND-1 DC MOTOR BRUSH REPLACEMENT</t>
  </si>
  <si>
    <t>CRM1_ALL_SILICAGEL INSPECTION</t>
  </si>
  <si>
    <t>CRM1_ALL_PNAEL/JB HOT BLOWER</t>
  </si>
  <si>
    <t>CRM1_ALL_FIRE BARRIER INSPECTION</t>
  </si>
  <si>
    <t>CRM1 TRAFO_SILICAGEL_REPLACEMENT</t>
  </si>
  <si>
    <t>CRM1 POR MOTOR BRUSH REPLACEMENT</t>
  </si>
  <si>
    <t>CRM1 POR DRV THY REPLACEMENT</t>
  </si>
  <si>
    <t>CRM1 MILL MOTOR BRUSH REPLACEMENT</t>
  </si>
  <si>
    <t>CRM1 MILL DRV CPU BTRY REPLACEMENT</t>
  </si>
  <si>
    <t>CRM1 MASTER PLC CPU BTRY REPLACEMENT</t>
  </si>
  <si>
    <t>CRM1 HYROP CPU BTRY REPLACEMENT</t>
  </si>
  <si>
    <t>CRM1 ETR TOP/BOT MTR BRUSH REPLACEMENT</t>
  </si>
  <si>
    <t>CRM1 ETR TOP BRDL DRV THY REPLACEMENT</t>
  </si>
  <si>
    <t>CRM1 ETR MOTOR BRUSH REPLACEMENT</t>
  </si>
  <si>
    <t>CRM1 ETR DRV CPU BTRY REPLACEMENT</t>
  </si>
  <si>
    <t>CRM1 ETR BOT BRDL DRV THY REPLACEMENT</t>
  </si>
  <si>
    <t>CRM1 DTR TOP/BOT MTR BRUSH REPLACEMNT</t>
  </si>
  <si>
    <t>CRM1 DTR MOTOR BRUSH REPLACEMENT</t>
  </si>
  <si>
    <t>CRM1 DTR MOTOR BRG REPLACEMENT</t>
  </si>
  <si>
    <t>CRM1 DTR FLD DRV THY REPLACEMENT</t>
  </si>
  <si>
    <t>CRM1 DTR DRV CPU BTRY REPLACEMENT</t>
  </si>
  <si>
    <t>CRM1 AGC PLC CPU BTRY REPLACEMENT</t>
  </si>
  <si>
    <t>CRM1 _ALL_CABLE INSPECTION</t>
  </si>
  <si>
    <t>Control Desk Maintenance</t>
  </si>
  <si>
    <t>Cleaning of Panels</t>
  </si>
  <si>
    <t>Big DC Motor Maintenance</t>
  </si>
  <si>
    <t>Aux Eqpmnt Maintenance</t>
  </si>
  <si>
    <t>AC/DC DRV PNL Maintenance</t>
  </si>
  <si>
    <t>AC Motor Maintenance</t>
  </si>
  <si>
    <t>AC motor Group 2 Greasing</t>
  </si>
  <si>
    <t>AC motor Group 1 Greasing</t>
  </si>
  <si>
    <t>HT Breaker &amp; Panel Maintenance</t>
  </si>
  <si>
    <t>Battery Charger Panel Maint Job</t>
  </si>
  <si>
    <t>119C2RCMTR2</t>
  </si>
  <si>
    <t>119C1-TRAFO</t>
  </si>
  <si>
    <t>119C2BRDMTR</t>
  </si>
  <si>
    <t>119C2DCMRPL3</t>
  </si>
  <si>
    <t>119C2ENTMTR</t>
  </si>
  <si>
    <t>119C2EXTMTR</t>
  </si>
  <si>
    <t>119C2HTMAINT</t>
  </si>
  <si>
    <t>119C2IMPMTR</t>
  </si>
  <si>
    <t>119C2OCSYS2</t>
  </si>
  <si>
    <t>119C2OCSYS3</t>
  </si>
  <si>
    <t>119C2PCCMNT</t>
  </si>
  <si>
    <t>119C2RCKPNL</t>
  </si>
  <si>
    <t>119C2RCMTR1</t>
  </si>
  <si>
    <t>119C2REACTOR</t>
  </si>
  <si>
    <t>119C2STNDFLD</t>
  </si>
  <si>
    <t>119C2UPS</t>
  </si>
  <si>
    <t>119C2WRIOPNL</t>
  </si>
  <si>
    <t>119C2ACMTR-1</t>
  </si>
  <si>
    <t>119C2AUXSYS</t>
  </si>
  <si>
    <t>119C2CNTDSK1</t>
  </si>
  <si>
    <t>119C2CNTDSK2</t>
  </si>
  <si>
    <t>119C2DCDRV</t>
  </si>
  <si>
    <t>119C2EXHTMTR</t>
  </si>
  <si>
    <t>119C2FLDDEV2</t>
  </si>
  <si>
    <t>119C2GAUGE</t>
  </si>
  <si>
    <t>119C2MDBPDB</t>
  </si>
  <si>
    <t>119C2MRIOPNL</t>
  </si>
  <si>
    <t>119C2MVDRV</t>
  </si>
  <si>
    <t>119C2MVMTR</t>
  </si>
  <si>
    <t>119C2OCSYS1</t>
  </si>
  <si>
    <t>119C2SGELINS</t>
  </si>
  <si>
    <t>119C2CBLINSP</t>
  </si>
  <si>
    <t>119C2FBRINSP</t>
  </si>
  <si>
    <t>119C2HOTBLWR</t>
  </si>
  <si>
    <t>119C2PLANICM</t>
  </si>
  <si>
    <t>119C2PLCPNL</t>
  </si>
  <si>
    <t>119C2STRNG</t>
  </si>
  <si>
    <t>119C2SYSFLD</t>
  </si>
  <si>
    <t>119C2THGRPHY</t>
  </si>
  <si>
    <t>119RCMCC</t>
  </si>
  <si>
    <t>119C2CBLCH10</t>
  </si>
  <si>
    <t>119C2CBLCH11</t>
  </si>
  <si>
    <t>119C2CBLCH12</t>
  </si>
  <si>
    <t>119C2CBLCH13</t>
  </si>
  <si>
    <t>119C2CBLCH14</t>
  </si>
  <si>
    <t>119C2CBLCH15</t>
  </si>
  <si>
    <t>119C2CBLCH16</t>
  </si>
  <si>
    <t>119C2CRDCH1</t>
  </si>
  <si>
    <t>119C2DCMCOOL</t>
  </si>
  <si>
    <t>119C2ECRMCC</t>
  </si>
  <si>
    <t>119C2FLDDEV1</t>
  </si>
  <si>
    <t>119C2MMGRS1</t>
  </si>
  <si>
    <t>119C2MMGRS2</t>
  </si>
  <si>
    <t>119C2OCMCC</t>
  </si>
  <si>
    <t>119C2WLDHEXH</t>
  </si>
  <si>
    <t>119C2WLDRPNL</t>
  </si>
  <si>
    <t>119C2ACMBGR7</t>
  </si>
  <si>
    <t>119C2HSCBM</t>
  </si>
  <si>
    <t>119C1-THYPNL</t>
  </si>
  <si>
    <t>119C1THMG</t>
  </si>
  <si>
    <t>119C1-GAUG</t>
  </si>
  <si>
    <t>119C1-SPLPNL</t>
  </si>
  <si>
    <t>119C1-SDCMTR</t>
  </si>
  <si>
    <t>119C1REAHSCB</t>
  </si>
  <si>
    <t>119C1-FDMNT</t>
  </si>
  <si>
    <t>119C1-OCFLD</t>
  </si>
  <si>
    <t>119C1-OCACM</t>
  </si>
  <si>
    <t>119C1-FLDDEV</t>
  </si>
  <si>
    <t>119C2GRSEQP</t>
  </si>
  <si>
    <t>119C1-MCCMNT</t>
  </si>
  <si>
    <t>119C2MAGCRN</t>
  </si>
  <si>
    <t>119C1-HTPNL</t>
  </si>
  <si>
    <t>119C1-FIRMNT</t>
  </si>
  <si>
    <t>119C2-FIRMNT</t>
  </si>
  <si>
    <t>119C1THYCH5</t>
  </si>
  <si>
    <t>119C2BRRPLS4</t>
  </si>
  <si>
    <t>119C2BRRPLS3</t>
  </si>
  <si>
    <t>119C2BRRPLS2</t>
  </si>
  <si>
    <t>119C2BRRPLS1</t>
  </si>
  <si>
    <t>119C1SGELINS</t>
  </si>
  <si>
    <t>119C1HOTBLWR</t>
  </si>
  <si>
    <t>119C1FBRINSP</t>
  </si>
  <si>
    <t>119C1TRFSIL1</t>
  </si>
  <si>
    <t>119C1BRRPLS</t>
  </si>
  <si>
    <t>119C1THYCH7</t>
  </si>
  <si>
    <t>119C1BRRPL2</t>
  </si>
  <si>
    <t>119C1BTRYCH4</t>
  </si>
  <si>
    <t>119C1BTRYCH1</t>
  </si>
  <si>
    <t>119C1BTRYCH6</t>
  </si>
  <si>
    <t>119C1BRRPL4</t>
  </si>
  <si>
    <t>119C1THYCH8</t>
  </si>
  <si>
    <t>119C1BRRPL1</t>
  </si>
  <si>
    <t>119C1BTRYCH3</t>
  </si>
  <si>
    <t>119C1THYCH9</t>
  </si>
  <si>
    <t>119C1PNLSIL2</t>
  </si>
  <si>
    <t>119C1BRRPL5</t>
  </si>
  <si>
    <t>119C1BRRPL3</t>
  </si>
  <si>
    <t>119C1DCMBR4</t>
  </si>
  <si>
    <t>119C1THYCH6</t>
  </si>
  <si>
    <t>119C1BTRYCH5</t>
  </si>
  <si>
    <t>119C1BTRYCH2</t>
  </si>
  <si>
    <t>119C1CBLINSP</t>
  </si>
  <si>
    <t>119C1-CNTDSK</t>
  </si>
  <si>
    <t>119C1-CLNG</t>
  </si>
  <si>
    <t>119C2BDCMTR</t>
  </si>
  <si>
    <t>119C1-AUXMNT</t>
  </si>
  <si>
    <t>119C2ARMCC3</t>
  </si>
  <si>
    <t>119C1-DRVPNL</t>
  </si>
  <si>
    <t>119C1-ACMMNT</t>
  </si>
  <si>
    <t>119C1ACM2GRS</t>
  </si>
  <si>
    <t>119C1ACM1GRS</t>
  </si>
  <si>
    <t>119C2ACDRVS</t>
  </si>
  <si>
    <t>DC Motor Replacment Job</t>
  </si>
  <si>
    <t>CTCM RCC1 CRD Inspection</t>
  </si>
  <si>
    <t>STNDBY Transfer pump ACM</t>
  </si>
  <si>
    <t>ST# 3 Transfer pump ACM</t>
  </si>
  <si>
    <t>ST#1 Supply Pump 2 ACM (1.2)</t>
  </si>
  <si>
    <t>ST#3 Supply Pump ACM (3)</t>
  </si>
  <si>
    <t>St#4 Supply Pump ACM (4)</t>
  </si>
  <si>
    <t>ST# 5 Transfer pump ACM</t>
  </si>
  <si>
    <t>ST#2 Supply Pump ACM (2)</t>
  </si>
  <si>
    <t>ST#2/3/4 Supply Pump ACM (2/3/4)</t>
  </si>
  <si>
    <t>ST# 4 Transfer pump ACM</t>
  </si>
  <si>
    <t>ST#1 Supply Pump 1 ACM (1.1)</t>
  </si>
  <si>
    <t>5.1 Supply Pump 1 ACM (5.1)</t>
  </si>
  <si>
    <t>5.2 Supply Pump 2 ACM (5.2)</t>
  </si>
  <si>
    <t>ST# 1 Transfer pump ACM</t>
  </si>
  <si>
    <t>ST# 2 Transfer pump ACM</t>
  </si>
  <si>
    <t>ACS 800 Panel</t>
  </si>
  <si>
    <t>ACS 800 Standalone Drives</t>
  </si>
  <si>
    <t>Maint Trolleys Drives</t>
  </si>
  <si>
    <t>LPR Main winch tension ACM</t>
  </si>
  <si>
    <t>MM-AGC Panel</t>
  </si>
  <si>
    <t>HGC 3-4 Panel</t>
  </si>
  <si>
    <t>Entry MM Panel</t>
  </si>
  <si>
    <t>L-1 Server Panel</t>
  </si>
  <si>
    <t>HGC 1-2 Panel</t>
  </si>
  <si>
    <t>RC Supply Filteration Pump 4 ACM</t>
  </si>
  <si>
    <t>RC Supply Filteration Pump 2 ACM</t>
  </si>
  <si>
    <t>RC Supply Filteration Pump 3 ACM</t>
  </si>
  <si>
    <t>RC Supply System AGITATOR ACMs</t>
  </si>
  <si>
    <t>RC Supply System Aux ACMs</t>
  </si>
  <si>
    <t>Stand 3 Slave DC Drive</t>
  </si>
  <si>
    <t>Stand 1 Master DC Drive</t>
  </si>
  <si>
    <t>Stand 3 Master DC Drive</t>
  </si>
  <si>
    <t>Stand 2 Slave DC Drive</t>
  </si>
  <si>
    <t>Stand 4 Master DC Drive</t>
  </si>
  <si>
    <t>Stand 2 Master DC Drive</t>
  </si>
  <si>
    <t>Stand 1 Slave DC Drive</t>
  </si>
  <si>
    <t>Stand 4 Slave DC Drive</t>
  </si>
  <si>
    <t>Utility Socket Elect</t>
  </si>
  <si>
    <t>Welder Field Devices</t>
  </si>
  <si>
    <t>MILL ENTRY FIELD DEVICES</t>
  </si>
  <si>
    <t>Welder Hydraulics Field Devices</t>
  </si>
  <si>
    <t>Planicim Roll ACM</t>
  </si>
  <si>
    <t>RC Supply Filteration Pump 5.1 ACM</t>
  </si>
  <si>
    <t>RC Supply Filteration Pump 5.2 ACM</t>
  </si>
  <si>
    <t>RC Supply Filteration Pump 2/3/4 ACM</t>
  </si>
  <si>
    <t>Stnd 1 to 5 Bending valve stand Elect Sys Maint.</t>
  </si>
  <si>
    <t>Stnd 1 to 5 Roll Force &amp; PullBack Elect System Maint</t>
  </si>
  <si>
    <t>Stand 1 to 4 Reactor Room Inspection and cleaning.</t>
  </si>
  <si>
    <t>Stnd 1 to 5 BUR PTs Inspection, Cable Dressing and Maint</t>
  </si>
  <si>
    <t>Bridle 1 Snubber1 and 2 ACM Cleaning and Maint</t>
  </si>
  <si>
    <t>Done By</t>
  </si>
  <si>
    <t>Earthing Pits Condition and All Display borad to be check.</t>
  </si>
  <si>
    <t>MDB Panel cleaning and Maintance</t>
  </si>
  <si>
    <t>PDB Panel cleaning and Maintance</t>
  </si>
  <si>
    <t>DRIVE PDB Panel Cleaning and Maintance</t>
  </si>
  <si>
    <t>Stand 2 Slave DC Drive HSDCCB, DBR Cleaning &amp; Maint</t>
  </si>
  <si>
    <t>Stand 4 Slave DC Drive HSDCCB, DBR Cleaning &amp; Maint</t>
  </si>
  <si>
    <t>Stand 1 Slave DC Drive HSDCCB, DBR Cleaning &amp; Maint</t>
  </si>
  <si>
    <t>Stand 2 Master DC Drive HSDCCB, DBR Cleaning &amp; Maint</t>
  </si>
  <si>
    <t>Stand 3 Master DC Drive HSDCCB, DBR Cleaning &amp; Maint</t>
  </si>
  <si>
    <t>Stand 1 Master DC Drive HSDCCB, DBR Cleaning &amp; Maint</t>
  </si>
  <si>
    <t>Stand 4 Master DC Drive HSDCCB, DBR Cleaning &amp; Maint</t>
  </si>
  <si>
    <t>Stand 3 Slave DC Drive HSDCCB, DBR Cleaning &amp; Maint</t>
  </si>
  <si>
    <t>CRM-1 and Roll shop ECR 5's Status to be update.</t>
  </si>
  <si>
    <t>Insp Coil Car ACM cleaning and Maint</t>
  </si>
  <si>
    <t>Insp Mag Conveyor ACM cleaning and Maint</t>
  </si>
  <si>
    <t>Insp Pinch Roll ACM Cleaning and Maint</t>
  </si>
  <si>
    <t>Mill Entry Pinch Roll ACM Cleaning and Maint</t>
  </si>
  <si>
    <t>Work Roll Change Car 1 ACMs Cleaning and Maint</t>
  </si>
  <si>
    <t>Work Roll Change Car 2 ACMs Cleaning and Maint</t>
  </si>
  <si>
    <t>Work Roll Change Car 3 ACMs Cleaning and Maint</t>
  </si>
  <si>
    <t>Work Roll Change Car 4 ACMs Cleaning and Maint</t>
  </si>
  <si>
    <t>Work Roll Change Car 5 ACMs Cleaning and Maint</t>
  </si>
  <si>
    <t>Entry, Walking Beam, Coil car Area Fld Devs Maint</t>
  </si>
  <si>
    <t>Exit Walking Beam, Coil car 1 &amp; 2, Transfer Car Fld Devices Maint</t>
  </si>
  <si>
    <t>CTCM System PC Back Up and its location to be check.</t>
  </si>
  <si>
    <t>Welder OD Maint, OD-2 and OD2.1</t>
  </si>
  <si>
    <t>OD-6, OD-7, OD-8 Cleaning and Maint</t>
  </si>
  <si>
    <t>OD-11, OD-12, OD-22, OD-32, OD-42, OD-52 Maint</t>
  </si>
  <si>
    <t>OD-1, OD-3, OD-3.1 Maint</t>
  </si>
  <si>
    <t>OD-14, OD-4, OD-5 Cleaning and Maint</t>
  </si>
  <si>
    <t>Welder Cable cellar inspection to be done</t>
  </si>
  <si>
    <t>Exit Magnet Panel cleaning &amp; Maint to be done</t>
  </si>
  <si>
    <t>CTCM_ALL_SILICAGEL INSPECTION As Pre-monsoon</t>
  </si>
  <si>
    <t>Stnd 5 MD 20 Panel Inspection &amp; Maint Elect</t>
  </si>
  <si>
    <t>Stnd 3-4 MD 20 Panel Inspection &amp; Maint Elect</t>
  </si>
  <si>
    <t>Stnd 1-2 MD 20 Panel inspection &amp; Main Elect</t>
  </si>
  <si>
    <t>Flying Shear ACM Cleaning and Maint</t>
  </si>
  <si>
    <t>High Bay Lightings maint Job In Rolling Area (Energy Care)</t>
  </si>
  <si>
    <t>CTCM_ALL Panel Fire Barrier Inspection to be done and list to be prepare</t>
  </si>
  <si>
    <t>Oil Cellar and Cable cellar Lighting Fixtures list to be Prepare</t>
  </si>
  <si>
    <t>CTCM Cable Cellar Cables inspection and check list to be update.</t>
  </si>
  <si>
    <t>119C1-BDCMTR</t>
  </si>
  <si>
    <t>PLC 5 Panel EC 20</t>
  </si>
  <si>
    <t>PLC 5 EC 41 Welder Exit</t>
  </si>
  <si>
    <t>OD Wldr PLC 5 EC 46 LN 111</t>
  </si>
  <si>
    <t>PLC 5 CX 20 Entry ECR</t>
  </si>
  <si>
    <t>PLC 5 EC 40 Welder Top</t>
  </si>
  <si>
    <t>Welder CX 21 Schllater Panel</t>
  </si>
  <si>
    <t>PLC 5 EC 45 Entry Hyd Room</t>
  </si>
  <si>
    <t>PLC 5 EC 44 Welder Top</t>
  </si>
  <si>
    <t>PLC 5 EC 43 Welder Exit</t>
  </si>
  <si>
    <t>PLC 5 EC 42 Welder Top</t>
  </si>
  <si>
    <t>CRM1 ECR_PANEL_SILICAGEL REPLACEMENT (CRM-1 ECR)</t>
  </si>
  <si>
    <t>Oil Cellar EMCC Maintenance</t>
  </si>
  <si>
    <t>Oil Cellar MCC-1 Maintenance</t>
  </si>
  <si>
    <t>Oil Cellar MCC-2 Maintenance</t>
  </si>
  <si>
    <t>Roll Collant EMCC Maintenance</t>
  </si>
  <si>
    <t>Roll Collant MCC-1 Maintenance</t>
  </si>
  <si>
    <t>Roll Collant MCC-2 Maintenance</t>
  </si>
  <si>
    <t>OIL CELLAR VENTILATION ACM</t>
  </si>
  <si>
    <t>Motor Lub Sys ACMs</t>
  </si>
  <si>
    <t>Gear Lub Sys ACMs</t>
  </si>
  <si>
    <t>Fume Exhaust ACM</t>
  </si>
  <si>
    <t>Up Draft Fan ACM 2</t>
  </si>
  <si>
    <t>Up Draft Fan ACM 1</t>
  </si>
  <si>
    <t>ENTRY TENSION REEL(ETR) DC MOTOR</t>
  </si>
  <si>
    <t>MAIN MILL DC MOTOR</t>
  </si>
  <si>
    <t>DELIVERY TENSION REEL(DTR) DC MOTOR</t>
  </si>
  <si>
    <t>RIGHT CONTROL CABINET(ENTRY)</t>
  </si>
  <si>
    <t>OD POR Elect</t>
  </si>
  <si>
    <t>BACK PANEL</t>
  </si>
  <si>
    <t>LEFT CONTROL CABINET(DELIVERY)</t>
  </si>
  <si>
    <t>MOTOR CONTROL CENTER-1(MCC-1)</t>
  </si>
  <si>
    <t>MOTOR CONTROL CENTER-2(MCC-2)</t>
  </si>
  <si>
    <t>MOTOR CONTROL CENTER-3(MCC-3)</t>
  </si>
  <si>
    <t>MAIN LIGHTING DISTRIBUTION BOARD(MLDB)</t>
  </si>
  <si>
    <t>Roll Coolant ACM 1</t>
  </si>
  <si>
    <t>Mill Hydraulic Sys 1 ACM</t>
  </si>
  <si>
    <t>Aux Hydraulic Pump 1 ACM</t>
  </si>
  <si>
    <t>Aux Hydraulic Pump 3 ACM</t>
  </si>
  <si>
    <t>Mill Aux ACMs</t>
  </si>
  <si>
    <t>Roll Coolant ACM 2</t>
  </si>
  <si>
    <t>Aux Hydraulic Pump 2 ACM</t>
  </si>
  <si>
    <t>Sump Disposal ACMs</t>
  </si>
  <si>
    <t>Mill Hydraulic Sys 2 ACM</t>
  </si>
  <si>
    <t>Roll Coolant System AUX ACMs</t>
  </si>
  <si>
    <t>UPS 1 &amp; 2 Battery Inspection and Maintenance</t>
  </si>
  <si>
    <t>UPS 1 &amp; 2 Inspection and Maintance</t>
  </si>
  <si>
    <t>CTCM RCC1 CRD CABLE Inspection &amp; REPLACEMENT</t>
  </si>
  <si>
    <t>CTCM RCC2 CRD CABLE Inspection &amp; REPLACEMENT</t>
  </si>
  <si>
    <t>CTCM RCC3 CRD CABLE Inspection &amp; REPLACEMENT</t>
  </si>
  <si>
    <t>CTCM RCC4 CRD CABLE Inspection &amp; REPLACEMENT</t>
  </si>
  <si>
    <t>CTCM RCC5 CRD CABLE Inspection &amp; REPLACEMENT</t>
  </si>
  <si>
    <t>CTCM ACC2 CRD CABLE Inspection &amp; REPLACEMENT</t>
  </si>
  <si>
    <t>CTCM ACC3 CRD CABLE Inspection &amp; REPLACEMENT</t>
  </si>
  <si>
    <t>Motor removal structural arrangment to be made.</t>
  </si>
  <si>
    <t>Yearly</t>
  </si>
  <si>
    <t>119C2TENSIO</t>
  </si>
  <si>
    <t>119C2BTRYCH1</t>
  </si>
  <si>
    <t>CTCM Big DC Motor Maintenance</t>
  </si>
  <si>
    <t>CTCM Mill Stand DC Motor</t>
  </si>
  <si>
    <t>Interstand Loadcell Mounting bolts to be check.</t>
  </si>
  <si>
    <t>Interstand Drive side cable condition to be check.</t>
  </si>
  <si>
    <t>STU 1, 2, 3, 4, 5 and 6 Panel cleaning to be done.</t>
  </si>
  <si>
    <t>STU 1, 2, 3, 4, 5 and 6 Frame cleaning to be done.</t>
  </si>
  <si>
    <t>Battery Inspection and replacment</t>
  </si>
  <si>
    <t>CTCM AC80 Battery to be check and replaced.</t>
  </si>
  <si>
    <t>CTCM All PLC Battery to be check and replaced.</t>
  </si>
  <si>
    <t>Roll coolant Flow meter calibration AMC for IMS Audit</t>
  </si>
  <si>
    <t>Armatic coil car-2 Maintennance</t>
  </si>
  <si>
    <t>Armatic coil car-3 Maintennance</t>
  </si>
  <si>
    <t>CRM-1 &amp; CTCM Smart Barrication cable and system condition to be check</t>
  </si>
  <si>
    <t>Electrical Deprt Portable Tools, Multimeter Calibration to be done.(Multi, Clamp On, Megger)</t>
  </si>
  <si>
    <t>CTCM DC Motor Inspection.</t>
  </si>
  <si>
    <t>POR Operator side motor - MOTOR</t>
  </si>
  <si>
    <t>POR Drive side motor - MOTOR</t>
  </si>
  <si>
    <t>Welder Hydraulic Pump 1 ACM Motor Cleaning &amp; Maintance</t>
  </si>
  <si>
    <t>Welder Hydraulic Pump 2 ACM Motor Cleaning &amp; Maintance</t>
  </si>
  <si>
    <t>Welder Hydraulic Pump 3 ACM Motor Cleaning &amp; Maintance</t>
  </si>
  <si>
    <t>Wldr Hyd Recirc Pmp 1 &amp; 2 ACM Motor Cleaning &amp; Maintance</t>
  </si>
  <si>
    <t>Ent Coil Car ACM Motor Cleaning &amp; Maintance</t>
  </si>
  <si>
    <t>Entry Pinch Roll ACM Motor Cleaning &amp; Maintance</t>
  </si>
  <si>
    <t>Welder Tools Car ACM Motor Cleaning &amp; Maintance</t>
  </si>
  <si>
    <t>Straightner ACM Motor Cleaning &amp; Maintance</t>
  </si>
  <si>
    <t>Flattner  ACM Motor Cleaning &amp; Maintance</t>
  </si>
  <si>
    <t>All DC drive Capacitor to be checked</t>
  </si>
  <si>
    <t>CTCM All Gauge inspection points to be check and attend.</t>
  </si>
  <si>
    <t>Rolling area Motor greasing to be done and File to be update.</t>
  </si>
  <si>
    <t>CTCM area fire sensor status to be check</t>
  </si>
  <si>
    <t>CTCM Cable cellar fire sensor status to be check.</t>
  </si>
  <si>
    <t>CTCM all ECR Fire sensor status to be check.</t>
  </si>
  <si>
    <t>CRM-1 Cable celar fire sensor status to be check.</t>
  </si>
  <si>
    <t>CRM-1 Oil cellar fire sensor status to be check.</t>
  </si>
  <si>
    <t>CRM-1 Main Fire panel status to be check and correct.</t>
  </si>
  <si>
    <t>CTCM All fire extingusher status to be check and correct.</t>
  </si>
  <si>
    <t>CRM-1 All fire extingushure status to be check and correct.</t>
  </si>
  <si>
    <t>CTCM and CRM-1 Spare Motor status to be update.</t>
  </si>
  <si>
    <t>CTCM all ECR Light to be check and correct.</t>
  </si>
  <si>
    <t>CTCM Oil cellar lighting maintance to be done.</t>
  </si>
  <si>
    <t>Trafo room lighting to be repaire.</t>
  </si>
  <si>
    <t>CTCM &amp; CRM-1 area open JB inspection to be done.</t>
  </si>
  <si>
    <t>119C1VIBRM1</t>
  </si>
  <si>
    <t>119C1VIBRM2</t>
  </si>
  <si>
    <t>119C2VIBM2</t>
  </si>
  <si>
    <t>119C2VIBM1</t>
  </si>
  <si>
    <t>VIBRATION MONITORING OF CRM1-MONTHLY</t>
  </si>
  <si>
    <t>VIBRATION MONITORING in CRM2-MONTHLY2</t>
  </si>
  <si>
    <t>VIBRATION MONITORING in CRM2-MONTHLY1</t>
  </si>
  <si>
    <t>Maint Job SOP to be review.</t>
  </si>
  <si>
    <t>CTCM Roll coolant are Cable drasing points to be attend.</t>
  </si>
  <si>
    <t>CTCM ECR Lighting to be repair and replaced.</t>
  </si>
  <si>
    <t>CTCM Roll coolant area inspection points to be attend.</t>
  </si>
  <si>
    <t>Stand-1 Trafo LT Link inspection to be done.</t>
  </si>
  <si>
    <t>Stand-2 Trafo LT link inspection to be done.</t>
  </si>
  <si>
    <t>Stand-3 Trafo LT link inspection to be done.</t>
  </si>
  <si>
    <t>Stand-4 Trafo LT link inspection to be done.</t>
  </si>
  <si>
    <t>Ventilation Sys Oil Cellar ACM 4</t>
  </si>
  <si>
    <t>Fume Exhaust Sys ACM 1</t>
  </si>
  <si>
    <t>Fume Exhaust Sys HT ACM</t>
  </si>
  <si>
    <t>Ventilation Sys Cable Cellar ACM 1</t>
  </si>
  <si>
    <t>Fume Exhaust Sys ACM 2</t>
  </si>
  <si>
    <t>Ventilation Sys Oil Cellar ACM 3</t>
  </si>
  <si>
    <t>Ventilation Sys Cable Cellar ACM 2</t>
  </si>
  <si>
    <t>Welder Fume Exhaust Sys ACM</t>
  </si>
  <si>
    <t>Ventilation Sys Oil Cellar ACM 2</t>
  </si>
  <si>
    <t>Fume Exhaust Sys ACM 3</t>
  </si>
  <si>
    <t>Ventilation Sys Oil Cellar ACM 1</t>
  </si>
  <si>
    <t>Mill area all RIO panel Cleaning and Maint Job</t>
  </si>
  <si>
    <t>Looper Motor Power TB and Power JB Inspection &amp; Maint.</t>
  </si>
  <si>
    <t>HT Panel Room and HT Panel Flage inspection to done every 15Days.</t>
  </si>
  <si>
    <t>Welder Secondary and CT Resistance condition to be check and changed.</t>
  </si>
  <si>
    <t>Briddle 1 M2 ACM Maint and Cleaning.</t>
  </si>
  <si>
    <t>Briddle 1 M1 ACM Maint and Cleaning.</t>
  </si>
  <si>
    <t>Briddle 2 M1 ACM Maint and Cleaning.</t>
  </si>
  <si>
    <t>Briddle 2 M2 ACM Maint and Cleaning.</t>
  </si>
  <si>
    <t>Briddle 3 M1 ACM Maint and Cleaning.</t>
  </si>
  <si>
    <t>Briddle 3 M2 ACM Maint and Cleaning.</t>
  </si>
  <si>
    <t>Briddle 4 M1 ACM Maint and Cleaning.</t>
  </si>
  <si>
    <t>Briddle 4 M2 ACM Maint and Cleaning.</t>
  </si>
  <si>
    <t xml:space="preserve">Welder IBA and HMI spare PC Status to be update. </t>
  </si>
  <si>
    <t xml:space="preserve">Welder IBA and Main IBA latest backup to be taken. </t>
  </si>
  <si>
    <t xml:space="preserve">Rolling area Oil cellar MCC panel Thermography inspection </t>
  </si>
  <si>
    <t>Planicim Panel Inspection to be done</t>
  </si>
  <si>
    <t>Planicim Field Devices maint and Inspection to be done</t>
  </si>
  <si>
    <t>Planicim Roll Electronics inspection to be done</t>
  </si>
  <si>
    <t>Gauge X5B Inspection to be done</t>
  </si>
  <si>
    <t>Gauge X1 Inspection to be done</t>
  </si>
  <si>
    <t>Gauge X0 Inspection to be done</t>
  </si>
  <si>
    <t>Gauge X5A Inspection to be done</t>
  </si>
  <si>
    <t>Armatic CoilCar3 Maintenance</t>
  </si>
  <si>
    <t>Plan No.</t>
  </si>
  <si>
    <t>PM Job</t>
  </si>
  <si>
    <t>Frequency</t>
  </si>
  <si>
    <t>Unit</t>
  </si>
  <si>
    <t>Item Type</t>
  </si>
  <si>
    <t>Month</t>
  </si>
  <si>
    <t>Heading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</si>
</sst>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F5F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164" fontId="0" fillId="2" borderId="3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16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16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3" borderId="1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3" borderId="18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14" fontId="0" fillId="3" borderId="20" xfId="0" applyNumberFormat="1" applyFill="1" applyBorder="1" applyAlignment="1">
      <alignment horizontal="center" vertical="center"/>
    </xf>
    <xf numFmtId="14" fontId="0" fillId="3" borderId="23" xfId="0" applyNumberForma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164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18" xfId="0" applyBorder="1"/>
    <xf numFmtId="14" fontId="0" fillId="0" borderId="18" xfId="0" applyNumberFormat="1" applyBorder="1" applyAlignment="1">
      <alignment horizontal="center" vertical="center"/>
    </xf>
    <xf numFmtId="0" fontId="0" fillId="0" borderId="3" xfId="0" applyBorder="1"/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3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 vertical="top"/>
    </xf>
    <xf numFmtId="0" fontId="0" fillId="0" borderId="17" xfId="0" applyBorder="1" applyAlignment="1">
      <alignment horizontal="center"/>
    </xf>
    <xf numFmtId="0" fontId="0" fillId="0" borderId="17" xfId="0" applyBorder="1"/>
    <xf numFmtId="14" fontId="0" fillId="0" borderId="17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1" xfId="0" applyBorder="1"/>
    <xf numFmtId="0" fontId="0" fillId="0" borderId="3" xfId="0" applyBorder="1" applyAlignment="1">
      <alignment horizontal="left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3" xfId="0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top"/>
    </xf>
    <xf numFmtId="0" fontId="0" fillId="0" borderId="41" xfId="0" applyBorder="1" applyAlignment="1">
      <alignment horizontal="center" vertical="top"/>
    </xf>
    <xf numFmtId="0" fontId="0" fillId="0" borderId="42" xfId="0" applyBorder="1" applyAlignment="1">
      <alignment horizontal="center" vertical="top"/>
    </xf>
    <xf numFmtId="0" fontId="2" fillId="0" borderId="34" xfId="0" applyFont="1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4" borderId="33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top"/>
    </xf>
    <xf numFmtId="0" fontId="0" fillId="4" borderId="3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14" fontId="0" fillId="3" borderId="31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14" fontId="0" fillId="3" borderId="3" xfId="0" applyNumberForma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4" borderId="30" xfId="0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3" borderId="18" xfId="0" applyFill="1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0" fillId="4" borderId="2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5" fillId="5" borderId="44" xfId="0" applyFont="1" applyFill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66"/>
      <color rgb="FFFE5C5C"/>
      <color rgb="FFFF99CC"/>
      <color rgb="FFFF66FF"/>
      <color rgb="FFFF9999"/>
      <color rgb="FFFF7C80"/>
      <color rgb="FFFF66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9"/>
  <sheetViews>
    <sheetView tabSelected="1" workbookViewId="0">
      <pane ySplit="1" topLeftCell="A2" activePane="bottomLeft" state="frozen"/>
      <selection pane="bottomLeft" activeCell="J247" sqref="J247"/>
    </sheetView>
  </sheetViews>
  <sheetFormatPr defaultRowHeight="15" x14ac:dyDescent="0.25"/>
  <cols>
    <col min="1" max="1" width="16" customWidth="1"/>
    <col min="2" max="2" width="7.7109375" customWidth="1"/>
    <col min="3" max="3" width="85.42578125" bestFit="1" customWidth="1"/>
    <col min="4" max="4" width="15.28515625" bestFit="1" customWidth="1"/>
    <col min="5" max="6" width="15.28515625" customWidth="1"/>
    <col min="7" max="7" width="12.85546875" bestFit="1" customWidth="1"/>
    <col min="246" max="246" width="16.28515625" customWidth="1"/>
    <col min="247" max="247" width="14.140625" customWidth="1"/>
    <col min="248" max="248" width="9.5703125" bestFit="1" customWidth="1"/>
    <col min="249" max="249" width="11.140625" customWidth="1"/>
    <col min="250" max="250" width="6.28515625" bestFit="1" customWidth="1"/>
    <col min="251" max="251" width="6.5703125" bestFit="1" customWidth="1"/>
    <col min="252" max="252" width="7" bestFit="1" customWidth="1"/>
    <col min="253" max="253" width="6.42578125" bestFit="1" customWidth="1"/>
    <col min="254" max="261" width="4.42578125" customWidth="1"/>
    <col min="502" max="502" width="16.28515625" customWidth="1"/>
    <col min="503" max="503" width="14.140625" customWidth="1"/>
    <col min="504" max="504" width="9.5703125" bestFit="1" customWidth="1"/>
    <col min="505" max="505" width="11.140625" customWidth="1"/>
    <col min="506" max="506" width="6.28515625" bestFit="1" customWidth="1"/>
    <col min="507" max="507" width="6.5703125" bestFit="1" customWidth="1"/>
    <col min="508" max="508" width="7" bestFit="1" customWidth="1"/>
    <col min="509" max="509" width="6.42578125" bestFit="1" customWidth="1"/>
    <col min="510" max="517" width="4.42578125" customWidth="1"/>
    <col min="758" max="758" width="16.28515625" customWidth="1"/>
    <col min="759" max="759" width="14.140625" customWidth="1"/>
    <col min="760" max="760" width="9.5703125" bestFit="1" customWidth="1"/>
    <col min="761" max="761" width="11.140625" customWidth="1"/>
    <col min="762" max="762" width="6.28515625" bestFit="1" customWidth="1"/>
    <col min="763" max="763" width="6.5703125" bestFit="1" customWidth="1"/>
    <col min="764" max="764" width="7" bestFit="1" customWidth="1"/>
    <col min="765" max="765" width="6.42578125" bestFit="1" customWidth="1"/>
    <col min="766" max="773" width="4.42578125" customWidth="1"/>
    <col min="1014" max="1014" width="16.28515625" customWidth="1"/>
    <col min="1015" max="1015" width="14.140625" customWidth="1"/>
    <col min="1016" max="1016" width="9.5703125" bestFit="1" customWidth="1"/>
    <col min="1017" max="1017" width="11.140625" customWidth="1"/>
    <col min="1018" max="1018" width="6.28515625" bestFit="1" customWidth="1"/>
    <col min="1019" max="1019" width="6.5703125" bestFit="1" customWidth="1"/>
    <col min="1020" max="1020" width="7" bestFit="1" customWidth="1"/>
    <col min="1021" max="1021" width="6.42578125" bestFit="1" customWidth="1"/>
    <col min="1022" max="1029" width="4.42578125" customWidth="1"/>
    <col min="1270" max="1270" width="16.28515625" customWidth="1"/>
    <col min="1271" max="1271" width="14.140625" customWidth="1"/>
    <col min="1272" max="1272" width="9.5703125" bestFit="1" customWidth="1"/>
    <col min="1273" max="1273" width="11.140625" customWidth="1"/>
    <col min="1274" max="1274" width="6.28515625" bestFit="1" customWidth="1"/>
    <col min="1275" max="1275" width="6.5703125" bestFit="1" customWidth="1"/>
    <col min="1276" max="1276" width="7" bestFit="1" customWidth="1"/>
    <col min="1277" max="1277" width="6.42578125" bestFit="1" customWidth="1"/>
    <col min="1278" max="1285" width="4.42578125" customWidth="1"/>
    <col min="1526" max="1526" width="16.28515625" customWidth="1"/>
    <col min="1527" max="1527" width="14.140625" customWidth="1"/>
    <col min="1528" max="1528" width="9.5703125" bestFit="1" customWidth="1"/>
    <col min="1529" max="1529" width="11.140625" customWidth="1"/>
    <col min="1530" max="1530" width="6.28515625" bestFit="1" customWidth="1"/>
    <col min="1531" max="1531" width="6.5703125" bestFit="1" customWidth="1"/>
    <col min="1532" max="1532" width="7" bestFit="1" customWidth="1"/>
    <col min="1533" max="1533" width="6.42578125" bestFit="1" customWidth="1"/>
    <col min="1534" max="1541" width="4.42578125" customWidth="1"/>
    <col min="1782" max="1782" width="16.28515625" customWidth="1"/>
    <col min="1783" max="1783" width="14.140625" customWidth="1"/>
    <col min="1784" max="1784" width="9.5703125" bestFit="1" customWidth="1"/>
    <col min="1785" max="1785" width="11.140625" customWidth="1"/>
    <col min="1786" max="1786" width="6.28515625" bestFit="1" customWidth="1"/>
    <col min="1787" max="1787" width="6.5703125" bestFit="1" customWidth="1"/>
    <col min="1788" max="1788" width="7" bestFit="1" customWidth="1"/>
    <col min="1789" max="1789" width="6.42578125" bestFit="1" customWidth="1"/>
    <col min="1790" max="1797" width="4.42578125" customWidth="1"/>
    <col min="2038" max="2038" width="16.28515625" customWidth="1"/>
    <col min="2039" max="2039" width="14.140625" customWidth="1"/>
    <col min="2040" max="2040" width="9.5703125" bestFit="1" customWidth="1"/>
    <col min="2041" max="2041" width="11.140625" customWidth="1"/>
    <col min="2042" max="2042" width="6.28515625" bestFit="1" customWidth="1"/>
    <col min="2043" max="2043" width="6.5703125" bestFit="1" customWidth="1"/>
    <col min="2044" max="2044" width="7" bestFit="1" customWidth="1"/>
    <col min="2045" max="2045" width="6.42578125" bestFit="1" customWidth="1"/>
    <col min="2046" max="2053" width="4.42578125" customWidth="1"/>
    <col min="2294" max="2294" width="16.28515625" customWidth="1"/>
    <col min="2295" max="2295" width="14.140625" customWidth="1"/>
    <col min="2296" max="2296" width="9.5703125" bestFit="1" customWidth="1"/>
    <col min="2297" max="2297" width="11.140625" customWidth="1"/>
    <col min="2298" max="2298" width="6.28515625" bestFit="1" customWidth="1"/>
    <col min="2299" max="2299" width="6.5703125" bestFit="1" customWidth="1"/>
    <col min="2300" max="2300" width="7" bestFit="1" customWidth="1"/>
    <col min="2301" max="2301" width="6.42578125" bestFit="1" customWidth="1"/>
    <col min="2302" max="2309" width="4.42578125" customWidth="1"/>
    <col min="2550" max="2550" width="16.28515625" customWidth="1"/>
    <col min="2551" max="2551" width="14.140625" customWidth="1"/>
    <col min="2552" max="2552" width="9.5703125" bestFit="1" customWidth="1"/>
    <col min="2553" max="2553" width="11.140625" customWidth="1"/>
    <col min="2554" max="2554" width="6.28515625" bestFit="1" customWidth="1"/>
    <col min="2555" max="2555" width="6.5703125" bestFit="1" customWidth="1"/>
    <col min="2556" max="2556" width="7" bestFit="1" customWidth="1"/>
    <col min="2557" max="2557" width="6.42578125" bestFit="1" customWidth="1"/>
    <col min="2558" max="2565" width="4.42578125" customWidth="1"/>
    <col min="2806" max="2806" width="16.28515625" customWidth="1"/>
    <col min="2807" max="2807" width="14.140625" customWidth="1"/>
    <col min="2808" max="2808" width="9.5703125" bestFit="1" customWidth="1"/>
    <col min="2809" max="2809" width="11.140625" customWidth="1"/>
    <col min="2810" max="2810" width="6.28515625" bestFit="1" customWidth="1"/>
    <col min="2811" max="2811" width="6.5703125" bestFit="1" customWidth="1"/>
    <col min="2812" max="2812" width="7" bestFit="1" customWidth="1"/>
    <col min="2813" max="2813" width="6.42578125" bestFit="1" customWidth="1"/>
    <col min="2814" max="2821" width="4.42578125" customWidth="1"/>
    <col min="3062" max="3062" width="16.28515625" customWidth="1"/>
    <col min="3063" max="3063" width="14.140625" customWidth="1"/>
    <col min="3064" max="3064" width="9.5703125" bestFit="1" customWidth="1"/>
    <col min="3065" max="3065" width="11.140625" customWidth="1"/>
    <col min="3066" max="3066" width="6.28515625" bestFit="1" customWidth="1"/>
    <col min="3067" max="3067" width="6.5703125" bestFit="1" customWidth="1"/>
    <col min="3068" max="3068" width="7" bestFit="1" customWidth="1"/>
    <col min="3069" max="3069" width="6.42578125" bestFit="1" customWidth="1"/>
    <col min="3070" max="3077" width="4.42578125" customWidth="1"/>
    <col min="3318" max="3318" width="16.28515625" customWidth="1"/>
    <col min="3319" max="3319" width="14.140625" customWidth="1"/>
    <col min="3320" max="3320" width="9.5703125" bestFit="1" customWidth="1"/>
    <col min="3321" max="3321" width="11.140625" customWidth="1"/>
    <col min="3322" max="3322" width="6.28515625" bestFit="1" customWidth="1"/>
    <col min="3323" max="3323" width="6.5703125" bestFit="1" customWidth="1"/>
    <col min="3324" max="3324" width="7" bestFit="1" customWidth="1"/>
    <col min="3325" max="3325" width="6.42578125" bestFit="1" customWidth="1"/>
    <col min="3326" max="3333" width="4.42578125" customWidth="1"/>
    <col min="3574" max="3574" width="16.28515625" customWidth="1"/>
    <col min="3575" max="3575" width="14.140625" customWidth="1"/>
    <col min="3576" max="3576" width="9.5703125" bestFit="1" customWidth="1"/>
    <col min="3577" max="3577" width="11.140625" customWidth="1"/>
    <col min="3578" max="3578" width="6.28515625" bestFit="1" customWidth="1"/>
    <col min="3579" max="3579" width="6.5703125" bestFit="1" customWidth="1"/>
    <col min="3580" max="3580" width="7" bestFit="1" customWidth="1"/>
    <col min="3581" max="3581" width="6.42578125" bestFit="1" customWidth="1"/>
    <col min="3582" max="3589" width="4.42578125" customWidth="1"/>
    <col min="3830" max="3830" width="16.28515625" customWidth="1"/>
    <col min="3831" max="3831" width="14.140625" customWidth="1"/>
    <col min="3832" max="3832" width="9.5703125" bestFit="1" customWidth="1"/>
    <col min="3833" max="3833" width="11.140625" customWidth="1"/>
    <col min="3834" max="3834" width="6.28515625" bestFit="1" customWidth="1"/>
    <col min="3835" max="3835" width="6.5703125" bestFit="1" customWidth="1"/>
    <col min="3836" max="3836" width="7" bestFit="1" customWidth="1"/>
    <col min="3837" max="3837" width="6.42578125" bestFit="1" customWidth="1"/>
    <col min="3838" max="3845" width="4.42578125" customWidth="1"/>
    <col min="4086" max="4086" width="16.28515625" customWidth="1"/>
    <col min="4087" max="4087" width="14.140625" customWidth="1"/>
    <col min="4088" max="4088" width="9.5703125" bestFit="1" customWidth="1"/>
    <col min="4089" max="4089" width="11.140625" customWidth="1"/>
    <col min="4090" max="4090" width="6.28515625" bestFit="1" customWidth="1"/>
    <col min="4091" max="4091" width="6.5703125" bestFit="1" customWidth="1"/>
    <col min="4092" max="4092" width="7" bestFit="1" customWidth="1"/>
    <col min="4093" max="4093" width="6.42578125" bestFit="1" customWidth="1"/>
    <col min="4094" max="4101" width="4.42578125" customWidth="1"/>
    <col min="4342" max="4342" width="16.28515625" customWidth="1"/>
    <col min="4343" max="4343" width="14.140625" customWidth="1"/>
    <col min="4344" max="4344" width="9.5703125" bestFit="1" customWidth="1"/>
    <col min="4345" max="4345" width="11.140625" customWidth="1"/>
    <col min="4346" max="4346" width="6.28515625" bestFit="1" customWidth="1"/>
    <col min="4347" max="4347" width="6.5703125" bestFit="1" customWidth="1"/>
    <col min="4348" max="4348" width="7" bestFit="1" customWidth="1"/>
    <col min="4349" max="4349" width="6.42578125" bestFit="1" customWidth="1"/>
    <col min="4350" max="4357" width="4.42578125" customWidth="1"/>
    <col min="4598" max="4598" width="16.28515625" customWidth="1"/>
    <col min="4599" max="4599" width="14.140625" customWidth="1"/>
    <col min="4600" max="4600" width="9.5703125" bestFit="1" customWidth="1"/>
    <col min="4601" max="4601" width="11.140625" customWidth="1"/>
    <col min="4602" max="4602" width="6.28515625" bestFit="1" customWidth="1"/>
    <col min="4603" max="4603" width="6.5703125" bestFit="1" customWidth="1"/>
    <col min="4604" max="4604" width="7" bestFit="1" customWidth="1"/>
    <col min="4605" max="4605" width="6.42578125" bestFit="1" customWidth="1"/>
    <col min="4606" max="4613" width="4.42578125" customWidth="1"/>
    <col min="4854" max="4854" width="16.28515625" customWidth="1"/>
    <col min="4855" max="4855" width="14.140625" customWidth="1"/>
    <col min="4856" max="4856" width="9.5703125" bestFit="1" customWidth="1"/>
    <col min="4857" max="4857" width="11.140625" customWidth="1"/>
    <col min="4858" max="4858" width="6.28515625" bestFit="1" customWidth="1"/>
    <col min="4859" max="4859" width="6.5703125" bestFit="1" customWidth="1"/>
    <col min="4860" max="4860" width="7" bestFit="1" customWidth="1"/>
    <col min="4861" max="4861" width="6.42578125" bestFit="1" customWidth="1"/>
    <col min="4862" max="4869" width="4.42578125" customWidth="1"/>
    <col min="5110" max="5110" width="16.28515625" customWidth="1"/>
    <col min="5111" max="5111" width="14.140625" customWidth="1"/>
    <col min="5112" max="5112" width="9.5703125" bestFit="1" customWidth="1"/>
    <col min="5113" max="5113" width="11.140625" customWidth="1"/>
    <col min="5114" max="5114" width="6.28515625" bestFit="1" customWidth="1"/>
    <col min="5115" max="5115" width="6.5703125" bestFit="1" customWidth="1"/>
    <col min="5116" max="5116" width="7" bestFit="1" customWidth="1"/>
    <col min="5117" max="5117" width="6.42578125" bestFit="1" customWidth="1"/>
    <col min="5118" max="5125" width="4.42578125" customWidth="1"/>
    <col min="5366" max="5366" width="16.28515625" customWidth="1"/>
    <col min="5367" max="5367" width="14.140625" customWidth="1"/>
    <col min="5368" max="5368" width="9.5703125" bestFit="1" customWidth="1"/>
    <col min="5369" max="5369" width="11.140625" customWidth="1"/>
    <col min="5370" max="5370" width="6.28515625" bestFit="1" customWidth="1"/>
    <col min="5371" max="5371" width="6.5703125" bestFit="1" customWidth="1"/>
    <col min="5372" max="5372" width="7" bestFit="1" customWidth="1"/>
    <col min="5373" max="5373" width="6.42578125" bestFit="1" customWidth="1"/>
    <col min="5374" max="5381" width="4.42578125" customWidth="1"/>
    <col min="5622" max="5622" width="16.28515625" customWidth="1"/>
    <col min="5623" max="5623" width="14.140625" customWidth="1"/>
    <col min="5624" max="5624" width="9.5703125" bestFit="1" customWidth="1"/>
    <col min="5625" max="5625" width="11.140625" customWidth="1"/>
    <col min="5626" max="5626" width="6.28515625" bestFit="1" customWidth="1"/>
    <col min="5627" max="5627" width="6.5703125" bestFit="1" customWidth="1"/>
    <col min="5628" max="5628" width="7" bestFit="1" customWidth="1"/>
    <col min="5629" max="5629" width="6.42578125" bestFit="1" customWidth="1"/>
    <col min="5630" max="5637" width="4.42578125" customWidth="1"/>
    <col min="5878" max="5878" width="16.28515625" customWidth="1"/>
    <col min="5879" max="5879" width="14.140625" customWidth="1"/>
    <col min="5880" max="5880" width="9.5703125" bestFit="1" customWidth="1"/>
    <col min="5881" max="5881" width="11.140625" customWidth="1"/>
    <col min="5882" max="5882" width="6.28515625" bestFit="1" customWidth="1"/>
    <col min="5883" max="5883" width="6.5703125" bestFit="1" customWidth="1"/>
    <col min="5884" max="5884" width="7" bestFit="1" customWidth="1"/>
    <col min="5885" max="5885" width="6.42578125" bestFit="1" customWidth="1"/>
    <col min="5886" max="5893" width="4.42578125" customWidth="1"/>
    <col min="6134" max="6134" width="16.28515625" customWidth="1"/>
    <col min="6135" max="6135" width="14.140625" customWidth="1"/>
    <col min="6136" max="6136" width="9.5703125" bestFit="1" customWidth="1"/>
    <col min="6137" max="6137" width="11.140625" customWidth="1"/>
    <col min="6138" max="6138" width="6.28515625" bestFit="1" customWidth="1"/>
    <col min="6139" max="6139" width="6.5703125" bestFit="1" customWidth="1"/>
    <col min="6140" max="6140" width="7" bestFit="1" customWidth="1"/>
    <col min="6141" max="6141" width="6.42578125" bestFit="1" customWidth="1"/>
    <col min="6142" max="6149" width="4.42578125" customWidth="1"/>
    <col min="6390" max="6390" width="16.28515625" customWidth="1"/>
    <col min="6391" max="6391" width="14.140625" customWidth="1"/>
    <col min="6392" max="6392" width="9.5703125" bestFit="1" customWidth="1"/>
    <col min="6393" max="6393" width="11.140625" customWidth="1"/>
    <col min="6394" max="6394" width="6.28515625" bestFit="1" customWidth="1"/>
    <col min="6395" max="6395" width="6.5703125" bestFit="1" customWidth="1"/>
    <col min="6396" max="6396" width="7" bestFit="1" customWidth="1"/>
    <col min="6397" max="6397" width="6.42578125" bestFit="1" customWidth="1"/>
    <col min="6398" max="6405" width="4.42578125" customWidth="1"/>
    <col min="6646" max="6646" width="16.28515625" customWidth="1"/>
    <col min="6647" max="6647" width="14.140625" customWidth="1"/>
    <col min="6648" max="6648" width="9.5703125" bestFit="1" customWidth="1"/>
    <col min="6649" max="6649" width="11.140625" customWidth="1"/>
    <col min="6650" max="6650" width="6.28515625" bestFit="1" customWidth="1"/>
    <col min="6651" max="6651" width="6.5703125" bestFit="1" customWidth="1"/>
    <col min="6652" max="6652" width="7" bestFit="1" customWidth="1"/>
    <col min="6653" max="6653" width="6.42578125" bestFit="1" customWidth="1"/>
    <col min="6654" max="6661" width="4.42578125" customWidth="1"/>
    <col min="6902" max="6902" width="16.28515625" customWidth="1"/>
    <col min="6903" max="6903" width="14.140625" customWidth="1"/>
    <col min="6904" max="6904" width="9.5703125" bestFit="1" customWidth="1"/>
    <col min="6905" max="6905" width="11.140625" customWidth="1"/>
    <col min="6906" max="6906" width="6.28515625" bestFit="1" customWidth="1"/>
    <col min="6907" max="6907" width="6.5703125" bestFit="1" customWidth="1"/>
    <col min="6908" max="6908" width="7" bestFit="1" customWidth="1"/>
    <col min="6909" max="6909" width="6.42578125" bestFit="1" customWidth="1"/>
    <col min="6910" max="6917" width="4.42578125" customWidth="1"/>
    <col min="7158" max="7158" width="16.28515625" customWidth="1"/>
    <col min="7159" max="7159" width="14.140625" customWidth="1"/>
    <col min="7160" max="7160" width="9.5703125" bestFit="1" customWidth="1"/>
    <col min="7161" max="7161" width="11.140625" customWidth="1"/>
    <col min="7162" max="7162" width="6.28515625" bestFit="1" customWidth="1"/>
    <col min="7163" max="7163" width="6.5703125" bestFit="1" customWidth="1"/>
    <col min="7164" max="7164" width="7" bestFit="1" customWidth="1"/>
    <col min="7165" max="7165" width="6.42578125" bestFit="1" customWidth="1"/>
    <col min="7166" max="7173" width="4.42578125" customWidth="1"/>
    <col min="7414" max="7414" width="16.28515625" customWidth="1"/>
    <col min="7415" max="7415" width="14.140625" customWidth="1"/>
    <col min="7416" max="7416" width="9.5703125" bestFit="1" customWidth="1"/>
    <col min="7417" max="7417" width="11.140625" customWidth="1"/>
    <col min="7418" max="7418" width="6.28515625" bestFit="1" customWidth="1"/>
    <col min="7419" max="7419" width="6.5703125" bestFit="1" customWidth="1"/>
    <col min="7420" max="7420" width="7" bestFit="1" customWidth="1"/>
    <col min="7421" max="7421" width="6.42578125" bestFit="1" customWidth="1"/>
    <col min="7422" max="7429" width="4.42578125" customWidth="1"/>
    <col min="7670" max="7670" width="16.28515625" customWidth="1"/>
    <col min="7671" max="7671" width="14.140625" customWidth="1"/>
    <col min="7672" max="7672" width="9.5703125" bestFit="1" customWidth="1"/>
    <col min="7673" max="7673" width="11.140625" customWidth="1"/>
    <col min="7674" max="7674" width="6.28515625" bestFit="1" customWidth="1"/>
    <col min="7675" max="7675" width="6.5703125" bestFit="1" customWidth="1"/>
    <col min="7676" max="7676" width="7" bestFit="1" customWidth="1"/>
    <col min="7677" max="7677" width="6.42578125" bestFit="1" customWidth="1"/>
    <col min="7678" max="7685" width="4.42578125" customWidth="1"/>
    <col min="7926" max="7926" width="16.28515625" customWidth="1"/>
    <col min="7927" max="7927" width="14.140625" customWidth="1"/>
    <col min="7928" max="7928" width="9.5703125" bestFit="1" customWidth="1"/>
    <col min="7929" max="7929" width="11.140625" customWidth="1"/>
    <col min="7930" max="7930" width="6.28515625" bestFit="1" customWidth="1"/>
    <col min="7931" max="7931" width="6.5703125" bestFit="1" customWidth="1"/>
    <col min="7932" max="7932" width="7" bestFit="1" customWidth="1"/>
    <col min="7933" max="7933" width="6.42578125" bestFit="1" customWidth="1"/>
    <col min="7934" max="7941" width="4.42578125" customWidth="1"/>
    <col min="8182" max="8182" width="16.28515625" customWidth="1"/>
    <col min="8183" max="8183" width="14.140625" customWidth="1"/>
    <col min="8184" max="8184" width="9.5703125" bestFit="1" customWidth="1"/>
    <col min="8185" max="8185" width="11.140625" customWidth="1"/>
    <col min="8186" max="8186" width="6.28515625" bestFit="1" customWidth="1"/>
    <col min="8187" max="8187" width="6.5703125" bestFit="1" customWidth="1"/>
    <col min="8188" max="8188" width="7" bestFit="1" customWidth="1"/>
    <col min="8189" max="8189" width="6.42578125" bestFit="1" customWidth="1"/>
    <col min="8190" max="8197" width="4.42578125" customWidth="1"/>
    <col min="8438" max="8438" width="16.28515625" customWidth="1"/>
    <col min="8439" max="8439" width="14.140625" customWidth="1"/>
    <col min="8440" max="8440" width="9.5703125" bestFit="1" customWidth="1"/>
    <col min="8441" max="8441" width="11.140625" customWidth="1"/>
    <col min="8442" max="8442" width="6.28515625" bestFit="1" customWidth="1"/>
    <col min="8443" max="8443" width="6.5703125" bestFit="1" customWidth="1"/>
    <col min="8444" max="8444" width="7" bestFit="1" customWidth="1"/>
    <col min="8445" max="8445" width="6.42578125" bestFit="1" customWidth="1"/>
    <col min="8446" max="8453" width="4.42578125" customWidth="1"/>
    <col min="8694" max="8694" width="16.28515625" customWidth="1"/>
    <col min="8695" max="8695" width="14.140625" customWidth="1"/>
    <col min="8696" max="8696" width="9.5703125" bestFit="1" customWidth="1"/>
    <col min="8697" max="8697" width="11.140625" customWidth="1"/>
    <col min="8698" max="8698" width="6.28515625" bestFit="1" customWidth="1"/>
    <col min="8699" max="8699" width="6.5703125" bestFit="1" customWidth="1"/>
    <col min="8700" max="8700" width="7" bestFit="1" customWidth="1"/>
    <col min="8701" max="8701" width="6.42578125" bestFit="1" customWidth="1"/>
    <col min="8702" max="8709" width="4.42578125" customWidth="1"/>
    <col min="8950" max="8950" width="16.28515625" customWidth="1"/>
    <col min="8951" max="8951" width="14.140625" customWidth="1"/>
    <col min="8952" max="8952" width="9.5703125" bestFit="1" customWidth="1"/>
    <col min="8953" max="8953" width="11.140625" customWidth="1"/>
    <col min="8954" max="8954" width="6.28515625" bestFit="1" customWidth="1"/>
    <col min="8955" max="8955" width="6.5703125" bestFit="1" customWidth="1"/>
    <col min="8956" max="8956" width="7" bestFit="1" customWidth="1"/>
    <col min="8957" max="8957" width="6.42578125" bestFit="1" customWidth="1"/>
    <col min="8958" max="8965" width="4.42578125" customWidth="1"/>
    <col min="9206" max="9206" width="16.28515625" customWidth="1"/>
    <col min="9207" max="9207" width="14.140625" customWidth="1"/>
    <col min="9208" max="9208" width="9.5703125" bestFit="1" customWidth="1"/>
    <col min="9209" max="9209" width="11.140625" customWidth="1"/>
    <col min="9210" max="9210" width="6.28515625" bestFit="1" customWidth="1"/>
    <col min="9211" max="9211" width="6.5703125" bestFit="1" customWidth="1"/>
    <col min="9212" max="9212" width="7" bestFit="1" customWidth="1"/>
    <col min="9213" max="9213" width="6.42578125" bestFit="1" customWidth="1"/>
    <col min="9214" max="9221" width="4.42578125" customWidth="1"/>
    <col min="9462" max="9462" width="16.28515625" customWidth="1"/>
    <col min="9463" max="9463" width="14.140625" customWidth="1"/>
    <col min="9464" max="9464" width="9.5703125" bestFit="1" customWidth="1"/>
    <col min="9465" max="9465" width="11.140625" customWidth="1"/>
    <col min="9466" max="9466" width="6.28515625" bestFit="1" customWidth="1"/>
    <col min="9467" max="9467" width="6.5703125" bestFit="1" customWidth="1"/>
    <col min="9468" max="9468" width="7" bestFit="1" customWidth="1"/>
    <col min="9469" max="9469" width="6.42578125" bestFit="1" customWidth="1"/>
    <col min="9470" max="9477" width="4.42578125" customWidth="1"/>
    <col min="9718" max="9718" width="16.28515625" customWidth="1"/>
    <col min="9719" max="9719" width="14.140625" customWidth="1"/>
    <col min="9720" max="9720" width="9.5703125" bestFit="1" customWidth="1"/>
    <col min="9721" max="9721" width="11.140625" customWidth="1"/>
    <col min="9722" max="9722" width="6.28515625" bestFit="1" customWidth="1"/>
    <col min="9723" max="9723" width="6.5703125" bestFit="1" customWidth="1"/>
    <col min="9724" max="9724" width="7" bestFit="1" customWidth="1"/>
    <col min="9725" max="9725" width="6.42578125" bestFit="1" customWidth="1"/>
    <col min="9726" max="9733" width="4.42578125" customWidth="1"/>
    <col min="9974" max="9974" width="16.28515625" customWidth="1"/>
    <col min="9975" max="9975" width="14.140625" customWidth="1"/>
    <col min="9976" max="9976" width="9.5703125" bestFit="1" customWidth="1"/>
    <col min="9977" max="9977" width="11.140625" customWidth="1"/>
    <col min="9978" max="9978" width="6.28515625" bestFit="1" customWidth="1"/>
    <col min="9979" max="9979" width="6.5703125" bestFit="1" customWidth="1"/>
    <col min="9980" max="9980" width="7" bestFit="1" customWidth="1"/>
    <col min="9981" max="9981" width="6.42578125" bestFit="1" customWidth="1"/>
    <col min="9982" max="9989" width="4.42578125" customWidth="1"/>
    <col min="10230" max="10230" width="16.28515625" customWidth="1"/>
    <col min="10231" max="10231" width="14.140625" customWidth="1"/>
    <col min="10232" max="10232" width="9.5703125" bestFit="1" customWidth="1"/>
    <col min="10233" max="10233" width="11.140625" customWidth="1"/>
    <col min="10234" max="10234" width="6.28515625" bestFit="1" customWidth="1"/>
    <col min="10235" max="10235" width="6.5703125" bestFit="1" customWidth="1"/>
    <col min="10236" max="10236" width="7" bestFit="1" customWidth="1"/>
    <col min="10237" max="10237" width="6.42578125" bestFit="1" customWidth="1"/>
    <col min="10238" max="10245" width="4.42578125" customWidth="1"/>
    <col min="10486" max="10486" width="16.28515625" customWidth="1"/>
    <col min="10487" max="10487" width="14.140625" customWidth="1"/>
    <col min="10488" max="10488" width="9.5703125" bestFit="1" customWidth="1"/>
    <col min="10489" max="10489" width="11.140625" customWidth="1"/>
    <col min="10490" max="10490" width="6.28515625" bestFit="1" customWidth="1"/>
    <col min="10491" max="10491" width="6.5703125" bestFit="1" customWidth="1"/>
    <col min="10492" max="10492" width="7" bestFit="1" customWidth="1"/>
    <col min="10493" max="10493" width="6.42578125" bestFit="1" customWidth="1"/>
    <col min="10494" max="10501" width="4.42578125" customWidth="1"/>
    <col min="10742" max="10742" width="16.28515625" customWidth="1"/>
    <col min="10743" max="10743" width="14.140625" customWidth="1"/>
    <col min="10744" max="10744" width="9.5703125" bestFit="1" customWidth="1"/>
    <col min="10745" max="10745" width="11.140625" customWidth="1"/>
    <col min="10746" max="10746" width="6.28515625" bestFit="1" customWidth="1"/>
    <col min="10747" max="10747" width="6.5703125" bestFit="1" customWidth="1"/>
    <col min="10748" max="10748" width="7" bestFit="1" customWidth="1"/>
    <col min="10749" max="10749" width="6.42578125" bestFit="1" customWidth="1"/>
    <col min="10750" max="10757" width="4.42578125" customWidth="1"/>
    <col min="10998" max="10998" width="16.28515625" customWidth="1"/>
    <col min="10999" max="10999" width="14.140625" customWidth="1"/>
    <col min="11000" max="11000" width="9.5703125" bestFit="1" customWidth="1"/>
    <col min="11001" max="11001" width="11.140625" customWidth="1"/>
    <col min="11002" max="11002" width="6.28515625" bestFit="1" customWidth="1"/>
    <col min="11003" max="11003" width="6.5703125" bestFit="1" customWidth="1"/>
    <col min="11004" max="11004" width="7" bestFit="1" customWidth="1"/>
    <col min="11005" max="11005" width="6.42578125" bestFit="1" customWidth="1"/>
    <col min="11006" max="11013" width="4.42578125" customWidth="1"/>
    <col min="11254" max="11254" width="16.28515625" customWidth="1"/>
    <col min="11255" max="11255" width="14.140625" customWidth="1"/>
    <col min="11256" max="11256" width="9.5703125" bestFit="1" customWidth="1"/>
    <col min="11257" max="11257" width="11.140625" customWidth="1"/>
    <col min="11258" max="11258" width="6.28515625" bestFit="1" customWidth="1"/>
    <col min="11259" max="11259" width="6.5703125" bestFit="1" customWidth="1"/>
    <col min="11260" max="11260" width="7" bestFit="1" customWidth="1"/>
    <col min="11261" max="11261" width="6.42578125" bestFit="1" customWidth="1"/>
    <col min="11262" max="11269" width="4.42578125" customWidth="1"/>
    <col min="11510" max="11510" width="16.28515625" customWidth="1"/>
    <col min="11511" max="11511" width="14.140625" customWidth="1"/>
    <col min="11512" max="11512" width="9.5703125" bestFit="1" customWidth="1"/>
    <col min="11513" max="11513" width="11.140625" customWidth="1"/>
    <col min="11514" max="11514" width="6.28515625" bestFit="1" customWidth="1"/>
    <col min="11515" max="11515" width="6.5703125" bestFit="1" customWidth="1"/>
    <col min="11516" max="11516" width="7" bestFit="1" customWidth="1"/>
    <col min="11517" max="11517" width="6.42578125" bestFit="1" customWidth="1"/>
    <col min="11518" max="11525" width="4.42578125" customWidth="1"/>
    <col min="11766" max="11766" width="16.28515625" customWidth="1"/>
    <col min="11767" max="11767" width="14.140625" customWidth="1"/>
    <col min="11768" max="11768" width="9.5703125" bestFit="1" customWidth="1"/>
    <col min="11769" max="11769" width="11.140625" customWidth="1"/>
    <col min="11770" max="11770" width="6.28515625" bestFit="1" customWidth="1"/>
    <col min="11771" max="11771" width="6.5703125" bestFit="1" customWidth="1"/>
    <col min="11772" max="11772" width="7" bestFit="1" customWidth="1"/>
    <col min="11773" max="11773" width="6.42578125" bestFit="1" customWidth="1"/>
    <col min="11774" max="11781" width="4.42578125" customWidth="1"/>
    <col min="12022" max="12022" width="16.28515625" customWidth="1"/>
    <col min="12023" max="12023" width="14.140625" customWidth="1"/>
    <col min="12024" max="12024" width="9.5703125" bestFit="1" customWidth="1"/>
    <col min="12025" max="12025" width="11.140625" customWidth="1"/>
    <col min="12026" max="12026" width="6.28515625" bestFit="1" customWidth="1"/>
    <col min="12027" max="12027" width="6.5703125" bestFit="1" customWidth="1"/>
    <col min="12028" max="12028" width="7" bestFit="1" customWidth="1"/>
    <col min="12029" max="12029" width="6.42578125" bestFit="1" customWidth="1"/>
    <col min="12030" max="12037" width="4.42578125" customWidth="1"/>
    <col min="12278" max="12278" width="16.28515625" customWidth="1"/>
    <col min="12279" max="12279" width="14.140625" customWidth="1"/>
    <col min="12280" max="12280" width="9.5703125" bestFit="1" customWidth="1"/>
    <col min="12281" max="12281" width="11.140625" customWidth="1"/>
    <col min="12282" max="12282" width="6.28515625" bestFit="1" customWidth="1"/>
    <col min="12283" max="12283" width="6.5703125" bestFit="1" customWidth="1"/>
    <col min="12284" max="12284" width="7" bestFit="1" customWidth="1"/>
    <col min="12285" max="12285" width="6.42578125" bestFit="1" customWidth="1"/>
    <col min="12286" max="12293" width="4.42578125" customWidth="1"/>
    <col min="12534" max="12534" width="16.28515625" customWidth="1"/>
    <col min="12535" max="12535" width="14.140625" customWidth="1"/>
    <col min="12536" max="12536" width="9.5703125" bestFit="1" customWidth="1"/>
    <col min="12537" max="12537" width="11.140625" customWidth="1"/>
    <col min="12538" max="12538" width="6.28515625" bestFit="1" customWidth="1"/>
    <col min="12539" max="12539" width="6.5703125" bestFit="1" customWidth="1"/>
    <col min="12540" max="12540" width="7" bestFit="1" customWidth="1"/>
    <col min="12541" max="12541" width="6.42578125" bestFit="1" customWidth="1"/>
    <col min="12542" max="12549" width="4.42578125" customWidth="1"/>
    <col min="12790" max="12790" width="16.28515625" customWidth="1"/>
    <col min="12791" max="12791" width="14.140625" customWidth="1"/>
    <col min="12792" max="12792" width="9.5703125" bestFit="1" customWidth="1"/>
    <col min="12793" max="12793" width="11.140625" customWidth="1"/>
    <col min="12794" max="12794" width="6.28515625" bestFit="1" customWidth="1"/>
    <col min="12795" max="12795" width="6.5703125" bestFit="1" customWidth="1"/>
    <col min="12796" max="12796" width="7" bestFit="1" customWidth="1"/>
    <col min="12797" max="12797" width="6.42578125" bestFit="1" customWidth="1"/>
    <col min="12798" max="12805" width="4.42578125" customWidth="1"/>
    <col min="13046" max="13046" width="16.28515625" customWidth="1"/>
    <col min="13047" max="13047" width="14.140625" customWidth="1"/>
    <col min="13048" max="13048" width="9.5703125" bestFit="1" customWidth="1"/>
    <col min="13049" max="13049" width="11.140625" customWidth="1"/>
    <col min="13050" max="13050" width="6.28515625" bestFit="1" customWidth="1"/>
    <col min="13051" max="13051" width="6.5703125" bestFit="1" customWidth="1"/>
    <col min="13052" max="13052" width="7" bestFit="1" customWidth="1"/>
    <col min="13053" max="13053" width="6.42578125" bestFit="1" customWidth="1"/>
    <col min="13054" max="13061" width="4.42578125" customWidth="1"/>
    <col min="13302" max="13302" width="16.28515625" customWidth="1"/>
    <col min="13303" max="13303" width="14.140625" customWidth="1"/>
    <col min="13304" max="13304" width="9.5703125" bestFit="1" customWidth="1"/>
    <col min="13305" max="13305" width="11.140625" customWidth="1"/>
    <col min="13306" max="13306" width="6.28515625" bestFit="1" customWidth="1"/>
    <col min="13307" max="13307" width="6.5703125" bestFit="1" customWidth="1"/>
    <col min="13308" max="13308" width="7" bestFit="1" customWidth="1"/>
    <col min="13309" max="13309" width="6.42578125" bestFit="1" customWidth="1"/>
    <col min="13310" max="13317" width="4.42578125" customWidth="1"/>
    <col min="13558" max="13558" width="16.28515625" customWidth="1"/>
    <col min="13559" max="13559" width="14.140625" customWidth="1"/>
    <col min="13560" max="13560" width="9.5703125" bestFit="1" customWidth="1"/>
    <col min="13561" max="13561" width="11.140625" customWidth="1"/>
    <col min="13562" max="13562" width="6.28515625" bestFit="1" customWidth="1"/>
    <col min="13563" max="13563" width="6.5703125" bestFit="1" customWidth="1"/>
    <col min="13564" max="13564" width="7" bestFit="1" customWidth="1"/>
    <col min="13565" max="13565" width="6.42578125" bestFit="1" customWidth="1"/>
    <col min="13566" max="13573" width="4.42578125" customWidth="1"/>
    <col min="13814" max="13814" width="16.28515625" customWidth="1"/>
    <col min="13815" max="13815" width="14.140625" customWidth="1"/>
    <col min="13816" max="13816" width="9.5703125" bestFit="1" customWidth="1"/>
    <col min="13817" max="13817" width="11.140625" customWidth="1"/>
    <col min="13818" max="13818" width="6.28515625" bestFit="1" customWidth="1"/>
    <col min="13819" max="13819" width="6.5703125" bestFit="1" customWidth="1"/>
    <col min="13820" max="13820" width="7" bestFit="1" customWidth="1"/>
    <col min="13821" max="13821" width="6.42578125" bestFit="1" customWidth="1"/>
    <col min="13822" max="13829" width="4.42578125" customWidth="1"/>
    <col min="14070" max="14070" width="16.28515625" customWidth="1"/>
    <col min="14071" max="14071" width="14.140625" customWidth="1"/>
    <col min="14072" max="14072" width="9.5703125" bestFit="1" customWidth="1"/>
    <col min="14073" max="14073" width="11.140625" customWidth="1"/>
    <col min="14074" max="14074" width="6.28515625" bestFit="1" customWidth="1"/>
    <col min="14075" max="14075" width="6.5703125" bestFit="1" customWidth="1"/>
    <col min="14076" max="14076" width="7" bestFit="1" customWidth="1"/>
    <col min="14077" max="14077" width="6.42578125" bestFit="1" customWidth="1"/>
    <col min="14078" max="14085" width="4.42578125" customWidth="1"/>
    <col min="14326" max="14326" width="16.28515625" customWidth="1"/>
    <col min="14327" max="14327" width="14.140625" customWidth="1"/>
    <col min="14328" max="14328" width="9.5703125" bestFit="1" customWidth="1"/>
    <col min="14329" max="14329" width="11.140625" customWidth="1"/>
    <col min="14330" max="14330" width="6.28515625" bestFit="1" customWidth="1"/>
    <col min="14331" max="14331" width="6.5703125" bestFit="1" customWidth="1"/>
    <col min="14332" max="14332" width="7" bestFit="1" customWidth="1"/>
    <col min="14333" max="14333" width="6.42578125" bestFit="1" customWidth="1"/>
    <col min="14334" max="14341" width="4.42578125" customWidth="1"/>
    <col min="14582" max="14582" width="16.28515625" customWidth="1"/>
    <col min="14583" max="14583" width="14.140625" customWidth="1"/>
    <col min="14584" max="14584" width="9.5703125" bestFit="1" customWidth="1"/>
    <col min="14585" max="14585" width="11.140625" customWidth="1"/>
    <col min="14586" max="14586" width="6.28515625" bestFit="1" customWidth="1"/>
    <col min="14587" max="14587" width="6.5703125" bestFit="1" customWidth="1"/>
    <col min="14588" max="14588" width="7" bestFit="1" customWidth="1"/>
    <col min="14589" max="14589" width="6.42578125" bestFit="1" customWidth="1"/>
    <col min="14590" max="14597" width="4.42578125" customWidth="1"/>
    <col min="14838" max="14838" width="16.28515625" customWidth="1"/>
    <col min="14839" max="14839" width="14.140625" customWidth="1"/>
    <col min="14840" max="14840" width="9.5703125" bestFit="1" customWidth="1"/>
    <col min="14841" max="14841" width="11.140625" customWidth="1"/>
    <col min="14842" max="14842" width="6.28515625" bestFit="1" customWidth="1"/>
    <col min="14843" max="14843" width="6.5703125" bestFit="1" customWidth="1"/>
    <col min="14844" max="14844" width="7" bestFit="1" customWidth="1"/>
    <col min="14845" max="14845" width="6.42578125" bestFit="1" customWidth="1"/>
    <col min="14846" max="14853" width="4.42578125" customWidth="1"/>
    <col min="15094" max="15094" width="16.28515625" customWidth="1"/>
    <col min="15095" max="15095" width="14.140625" customWidth="1"/>
    <col min="15096" max="15096" width="9.5703125" bestFit="1" customWidth="1"/>
    <col min="15097" max="15097" width="11.140625" customWidth="1"/>
    <col min="15098" max="15098" width="6.28515625" bestFit="1" customWidth="1"/>
    <col min="15099" max="15099" width="6.5703125" bestFit="1" customWidth="1"/>
    <col min="15100" max="15100" width="7" bestFit="1" customWidth="1"/>
    <col min="15101" max="15101" width="6.42578125" bestFit="1" customWidth="1"/>
    <col min="15102" max="15109" width="4.42578125" customWidth="1"/>
    <col min="15350" max="15350" width="16.28515625" customWidth="1"/>
    <col min="15351" max="15351" width="14.140625" customWidth="1"/>
    <col min="15352" max="15352" width="9.5703125" bestFit="1" customWidth="1"/>
    <col min="15353" max="15353" width="11.140625" customWidth="1"/>
    <col min="15354" max="15354" width="6.28515625" bestFit="1" customWidth="1"/>
    <col min="15355" max="15355" width="6.5703125" bestFit="1" customWidth="1"/>
    <col min="15356" max="15356" width="7" bestFit="1" customWidth="1"/>
    <col min="15357" max="15357" width="6.42578125" bestFit="1" customWidth="1"/>
    <col min="15358" max="15365" width="4.42578125" customWidth="1"/>
    <col min="15606" max="15606" width="16.28515625" customWidth="1"/>
    <col min="15607" max="15607" width="14.140625" customWidth="1"/>
    <col min="15608" max="15608" width="9.5703125" bestFit="1" customWidth="1"/>
    <col min="15609" max="15609" width="11.140625" customWidth="1"/>
    <col min="15610" max="15610" width="6.28515625" bestFit="1" customWidth="1"/>
    <col min="15611" max="15611" width="6.5703125" bestFit="1" customWidth="1"/>
    <col min="15612" max="15612" width="7" bestFit="1" customWidth="1"/>
    <col min="15613" max="15613" width="6.42578125" bestFit="1" customWidth="1"/>
    <col min="15614" max="15621" width="4.42578125" customWidth="1"/>
    <col min="15862" max="15862" width="16.28515625" customWidth="1"/>
    <col min="15863" max="15863" width="14.140625" customWidth="1"/>
    <col min="15864" max="15864" width="9.5703125" bestFit="1" customWidth="1"/>
    <col min="15865" max="15865" width="11.140625" customWidth="1"/>
    <col min="15866" max="15866" width="6.28515625" bestFit="1" customWidth="1"/>
    <col min="15867" max="15867" width="6.5703125" bestFit="1" customWidth="1"/>
    <col min="15868" max="15868" width="7" bestFit="1" customWidth="1"/>
    <col min="15869" max="15869" width="6.42578125" bestFit="1" customWidth="1"/>
    <col min="15870" max="15877" width="4.42578125" customWidth="1"/>
    <col min="16118" max="16118" width="16.28515625" customWidth="1"/>
    <col min="16119" max="16119" width="14.140625" customWidth="1"/>
    <col min="16120" max="16120" width="9.5703125" bestFit="1" customWidth="1"/>
    <col min="16121" max="16121" width="11.140625" customWidth="1"/>
    <col min="16122" max="16122" width="6.28515625" bestFit="1" customWidth="1"/>
    <col min="16123" max="16123" width="6.5703125" bestFit="1" customWidth="1"/>
    <col min="16124" max="16124" width="7" bestFit="1" customWidth="1"/>
    <col min="16125" max="16125" width="6.42578125" bestFit="1" customWidth="1"/>
    <col min="16126" max="16133" width="4.42578125" customWidth="1"/>
  </cols>
  <sheetData>
    <row r="1" spans="1:7" ht="16.5" thickBot="1" x14ac:dyDescent="0.3">
      <c r="A1" s="176" t="s">
        <v>540</v>
      </c>
      <c r="B1" s="176" t="s">
        <v>17</v>
      </c>
      <c r="C1" s="176" t="s">
        <v>541</v>
      </c>
      <c r="D1" s="176" t="s">
        <v>542</v>
      </c>
      <c r="E1" s="176" t="s">
        <v>543</v>
      </c>
      <c r="F1" s="176" t="s">
        <v>544</v>
      </c>
      <c r="G1" s="79" t="s">
        <v>349</v>
      </c>
    </row>
    <row r="2" spans="1:7" x14ac:dyDescent="0.25">
      <c r="A2" s="59" t="s">
        <v>29</v>
      </c>
      <c r="B2" s="62" t="s">
        <v>0</v>
      </c>
      <c r="C2" s="63" t="s">
        <v>184</v>
      </c>
      <c r="D2" s="108">
        <v>12</v>
      </c>
      <c r="E2" s="142" t="s">
        <v>545</v>
      </c>
      <c r="F2" s="142" t="s">
        <v>546</v>
      </c>
      <c r="G2" s="80"/>
    </row>
    <row r="3" spans="1:7" ht="15.75" thickBot="1" x14ac:dyDescent="0.3">
      <c r="A3" s="76" t="s">
        <v>29</v>
      </c>
      <c r="B3" s="90" t="s">
        <v>0</v>
      </c>
      <c r="C3" s="84" t="s">
        <v>42</v>
      </c>
      <c r="D3" s="110">
        <v>12</v>
      </c>
      <c r="E3" s="144" t="s">
        <v>545</v>
      </c>
      <c r="F3" s="144" t="s">
        <v>546</v>
      </c>
      <c r="G3" s="85"/>
    </row>
    <row r="4" spans="1:7" x14ac:dyDescent="0.25">
      <c r="A4" s="149" t="s">
        <v>391</v>
      </c>
      <c r="B4" s="62" t="s">
        <v>0</v>
      </c>
      <c r="C4" s="63" t="s">
        <v>449</v>
      </c>
      <c r="D4" s="160">
        <v>1</v>
      </c>
      <c r="E4" s="133" t="s">
        <v>545</v>
      </c>
      <c r="F4" s="133" t="s">
        <v>546</v>
      </c>
      <c r="G4" s="80"/>
    </row>
    <row r="5" spans="1:7" x14ac:dyDescent="0.25">
      <c r="A5" s="150" t="s">
        <v>391</v>
      </c>
      <c r="B5" s="8" t="s">
        <v>0</v>
      </c>
      <c r="C5" s="5" t="s">
        <v>450</v>
      </c>
      <c r="D5" s="161"/>
      <c r="E5" s="134"/>
      <c r="F5" s="134"/>
      <c r="G5" s="78"/>
    </row>
    <row r="6" spans="1:7" x14ac:dyDescent="0.25">
      <c r="A6" s="150" t="s">
        <v>391</v>
      </c>
      <c r="B6" s="8" t="s">
        <v>19</v>
      </c>
      <c r="C6" s="5" t="s">
        <v>519</v>
      </c>
      <c r="D6" s="161"/>
      <c r="E6" s="134"/>
      <c r="F6" s="134"/>
      <c r="G6" s="78" t="s">
        <v>23</v>
      </c>
    </row>
    <row r="7" spans="1:7" ht="15.75" thickBot="1" x14ac:dyDescent="0.3">
      <c r="A7" s="154" t="s">
        <v>391</v>
      </c>
      <c r="B7" s="90" t="s">
        <v>0</v>
      </c>
      <c r="C7" s="84" t="s">
        <v>463</v>
      </c>
      <c r="D7" s="162"/>
      <c r="E7" s="146"/>
      <c r="F7" s="146"/>
      <c r="G7" s="85" t="s">
        <v>10</v>
      </c>
    </row>
    <row r="8" spans="1:7" x14ac:dyDescent="0.25">
      <c r="A8" s="149" t="s">
        <v>200</v>
      </c>
      <c r="B8" s="60" t="s">
        <v>0</v>
      </c>
      <c r="C8" s="63" t="s">
        <v>65</v>
      </c>
      <c r="D8" s="160">
        <v>2</v>
      </c>
      <c r="E8" s="133" t="s">
        <v>545</v>
      </c>
      <c r="F8" s="133" t="s">
        <v>546</v>
      </c>
      <c r="G8" s="80"/>
    </row>
    <row r="9" spans="1:7" x14ac:dyDescent="0.25">
      <c r="A9" s="150" t="s">
        <v>200</v>
      </c>
      <c r="B9" s="3" t="s">
        <v>0</v>
      </c>
      <c r="C9" s="5" t="s">
        <v>49</v>
      </c>
      <c r="D9" s="161"/>
      <c r="E9" s="134"/>
      <c r="F9" s="134"/>
      <c r="G9" s="45" t="s">
        <v>4</v>
      </c>
    </row>
    <row r="10" spans="1:7" x14ac:dyDescent="0.25">
      <c r="A10" s="150" t="s">
        <v>200</v>
      </c>
      <c r="B10" s="3" t="s">
        <v>0</v>
      </c>
      <c r="C10" s="5" t="s">
        <v>385</v>
      </c>
      <c r="D10" s="161"/>
      <c r="E10" s="134"/>
      <c r="F10" s="134"/>
      <c r="G10" s="45" t="s">
        <v>24</v>
      </c>
    </row>
    <row r="11" spans="1:7" x14ac:dyDescent="0.25">
      <c r="A11" s="150" t="s">
        <v>200</v>
      </c>
      <c r="B11" s="3" t="s">
        <v>0</v>
      </c>
      <c r="C11" s="5" t="s">
        <v>384</v>
      </c>
      <c r="D11" s="161"/>
      <c r="E11" s="134"/>
      <c r="F11" s="134"/>
      <c r="G11" s="45" t="s">
        <v>24</v>
      </c>
    </row>
    <row r="12" spans="1:7" x14ac:dyDescent="0.25">
      <c r="A12" s="150" t="s">
        <v>200</v>
      </c>
      <c r="B12" s="3" t="s">
        <v>0</v>
      </c>
      <c r="C12" s="5" t="s">
        <v>383</v>
      </c>
      <c r="D12" s="161"/>
      <c r="E12" s="134"/>
      <c r="F12" s="134"/>
      <c r="G12" s="45" t="s">
        <v>24</v>
      </c>
    </row>
    <row r="13" spans="1:7" x14ac:dyDescent="0.25">
      <c r="A13" s="150" t="s">
        <v>200</v>
      </c>
      <c r="B13" s="3" t="s">
        <v>0</v>
      </c>
      <c r="C13" s="5" t="s">
        <v>344</v>
      </c>
      <c r="D13" s="161"/>
      <c r="E13" s="134"/>
      <c r="F13" s="134"/>
      <c r="G13" s="3"/>
    </row>
    <row r="14" spans="1:7" x14ac:dyDescent="0.25">
      <c r="A14" s="150" t="s">
        <v>200</v>
      </c>
      <c r="B14" s="3" t="s">
        <v>0</v>
      </c>
      <c r="C14" s="5" t="s">
        <v>345</v>
      </c>
      <c r="D14" s="161"/>
      <c r="E14" s="134"/>
      <c r="F14" s="134"/>
      <c r="G14" s="3"/>
    </row>
    <row r="15" spans="1:7" x14ac:dyDescent="0.25">
      <c r="A15" s="150" t="s">
        <v>200</v>
      </c>
      <c r="B15" s="3" t="s">
        <v>0</v>
      </c>
      <c r="C15" s="5" t="s">
        <v>347</v>
      </c>
      <c r="D15" s="161"/>
      <c r="E15" s="134"/>
      <c r="F15" s="134"/>
      <c r="G15" s="45" t="s">
        <v>12</v>
      </c>
    </row>
    <row r="16" spans="1:7" x14ac:dyDescent="0.25">
      <c r="A16" s="150" t="s">
        <v>200</v>
      </c>
      <c r="B16" s="3" t="s">
        <v>0</v>
      </c>
      <c r="C16" s="5" t="s">
        <v>476</v>
      </c>
      <c r="D16" s="161"/>
      <c r="E16" s="134"/>
      <c r="F16" s="134"/>
      <c r="G16" s="45" t="s">
        <v>24</v>
      </c>
    </row>
    <row r="17" spans="1:7" x14ac:dyDescent="0.25">
      <c r="A17" s="150" t="s">
        <v>200</v>
      </c>
      <c r="B17" s="3" t="s">
        <v>0</v>
      </c>
      <c r="C17" s="5" t="s">
        <v>477</v>
      </c>
      <c r="D17" s="161"/>
      <c r="E17" s="134"/>
      <c r="F17" s="134"/>
      <c r="G17" s="45" t="s">
        <v>2</v>
      </c>
    </row>
    <row r="18" spans="1:7" x14ac:dyDescent="0.25">
      <c r="A18" s="150" t="s">
        <v>200</v>
      </c>
      <c r="B18" s="3" t="s">
        <v>0</v>
      </c>
      <c r="C18" s="5" t="s">
        <v>488</v>
      </c>
      <c r="D18" s="161"/>
      <c r="E18" s="134"/>
      <c r="F18" s="134"/>
      <c r="G18" s="45" t="s">
        <v>12</v>
      </c>
    </row>
    <row r="19" spans="1:7" x14ac:dyDescent="0.25">
      <c r="A19" s="150" t="s">
        <v>200</v>
      </c>
      <c r="B19" s="3" t="s">
        <v>0</v>
      </c>
      <c r="C19" s="5" t="s">
        <v>35</v>
      </c>
      <c r="D19" s="161"/>
      <c r="E19" s="134"/>
      <c r="F19" s="134"/>
      <c r="G19" s="45" t="s">
        <v>23</v>
      </c>
    </row>
    <row r="20" spans="1:7" x14ac:dyDescent="0.25">
      <c r="A20" s="150" t="s">
        <v>200</v>
      </c>
      <c r="B20" s="3" t="s">
        <v>0</v>
      </c>
      <c r="C20" s="5" t="s">
        <v>500</v>
      </c>
      <c r="D20" s="161"/>
      <c r="E20" s="134"/>
      <c r="F20" s="134"/>
      <c r="G20" s="45" t="s">
        <v>26</v>
      </c>
    </row>
    <row r="21" spans="1:7" x14ac:dyDescent="0.25">
      <c r="A21" s="150" t="s">
        <v>200</v>
      </c>
      <c r="B21" s="3" t="s">
        <v>0</v>
      </c>
      <c r="C21" s="5" t="s">
        <v>518</v>
      </c>
      <c r="D21" s="161"/>
      <c r="E21" s="134"/>
      <c r="F21" s="134"/>
      <c r="G21" s="45" t="s">
        <v>3</v>
      </c>
    </row>
    <row r="22" spans="1:7" x14ac:dyDescent="0.25">
      <c r="A22" s="150" t="s">
        <v>200</v>
      </c>
      <c r="B22" s="3" t="s">
        <v>0</v>
      </c>
      <c r="C22" s="5" t="s">
        <v>529</v>
      </c>
      <c r="D22" s="161"/>
      <c r="E22" s="134"/>
      <c r="F22" s="134"/>
      <c r="G22" s="45" t="s">
        <v>10</v>
      </c>
    </row>
    <row r="23" spans="1:7" x14ac:dyDescent="0.25">
      <c r="A23" s="150" t="s">
        <v>200</v>
      </c>
      <c r="B23" s="3" t="s">
        <v>0</v>
      </c>
      <c r="C23" s="5" t="s">
        <v>530</v>
      </c>
      <c r="D23" s="161"/>
      <c r="E23" s="134"/>
      <c r="F23" s="134"/>
      <c r="G23" s="45" t="s">
        <v>24</v>
      </c>
    </row>
    <row r="24" spans="1:7" ht="15.75" thickBot="1" x14ac:dyDescent="0.3">
      <c r="A24" s="151" t="s">
        <v>200</v>
      </c>
      <c r="B24" s="66" t="s">
        <v>0</v>
      </c>
      <c r="C24" s="70" t="s">
        <v>461</v>
      </c>
      <c r="D24" s="167"/>
      <c r="E24" s="135"/>
      <c r="F24" s="135"/>
      <c r="G24" s="46" t="s">
        <v>23</v>
      </c>
    </row>
    <row r="25" spans="1:7" x14ac:dyDescent="0.25">
      <c r="A25" s="149" t="s">
        <v>209</v>
      </c>
      <c r="B25" s="60" t="s">
        <v>0</v>
      </c>
      <c r="C25" s="63" t="s">
        <v>74</v>
      </c>
      <c r="D25" s="170">
        <v>2</v>
      </c>
      <c r="E25" s="133" t="s">
        <v>545</v>
      </c>
      <c r="F25" s="142" t="s">
        <v>546</v>
      </c>
      <c r="G25" s="80"/>
    </row>
    <row r="26" spans="1:7" x14ac:dyDescent="0.25">
      <c r="A26" s="155" t="s">
        <v>209</v>
      </c>
      <c r="B26" s="3" t="s">
        <v>0</v>
      </c>
      <c r="C26" s="5" t="s">
        <v>390</v>
      </c>
      <c r="D26" s="171"/>
      <c r="E26" s="143"/>
      <c r="F26" s="143"/>
      <c r="G26" s="45" t="s">
        <v>23</v>
      </c>
    </row>
    <row r="27" spans="1:7" x14ac:dyDescent="0.25">
      <c r="A27" s="155" t="s">
        <v>209</v>
      </c>
      <c r="B27" s="3" t="s">
        <v>0</v>
      </c>
      <c r="C27" s="5" t="s">
        <v>372</v>
      </c>
      <c r="D27" s="171"/>
      <c r="E27" s="143"/>
      <c r="F27" s="143"/>
      <c r="G27" s="45" t="s">
        <v>2</v>
      </c>
    </row>
    <row r="28" spans="1:7" x14ac:dyDescent="0.25">
      <c r="A28" s="155" t="s">
        <v>209</v>
      </c>
      <c r="B28" s="3" t="s">
        <v>0</v>
      </c>
      <c r="C28" s="5" t="s">
        <v>337</v>
      </c>
      <c r="D28" s="171"/>
      <c r="E28" s="143"/>
      <c r="F28" s="143"/>
      <c r="G28" s="45" t="s">
        <v>10</v>
      </c>
    </row>
    <row r="29" spans="1:7" x14ac:dyDescent="0.25">
      <c r="A29" s="155" t="s">
        <v>209</v>
      </c>
      <c r="B29" s="3" t="s">
        <v>0</v>
      </c>
      <c r="C29" s="5" t="s">
        <v>373</v>
      </c>
      <c r="D29" s="171"/>
      <c r="E29" s="143"/>
      <c r="F29" s="143"/>
      <c r="G29" s="45" t="s">
        <v>10</v>
      </c>
    </row>
    <row r="30" spans="1:7" ht="14.45" customHeight="1" x14ac:dyDescent="0.25">
      <c r="A30" s="155" t="s">
        <v>209</v>
      </c>
      <c r="B30" s="3" t="s">
        <v>0</v>
      </c>
      <c r="C30" s="5" t="s">
        <v>381</v>
      </c>
      <c r="D30" s="171"/>
      <c r="E30" s="143"/>
      <c r="F30" s="143"/>
      <c r="G30" s="45" t="s">
        <v>10</v>
      </c>
    </row>
    <row r="31" spans="1:7" x14ac:dyDescent="0.25">
      <c r="A31" s="155" t="s">
        <v>209</v>
      </c>
      <c r="B31" s="3" t="s">
        <v>0</v>
      </c>
      <c r="C31" s="5" t="s">
        <v>338</v>
      </c>
      <c r="D31" s="171"/>
      <c r="E31" s="143"/>
      <c r="F31" s="143"/>
      <c r="G31" s="45" t="s">
        <v>12</v>
      </c>
    </row>
    <row r="32" spans="1:7" x14ac:dyDescent="0.25">
      <c r="A32" s="155" t="s">
        <v>209</v>
      </c>
      <c r="B32" s="3" t="s">
        <v>0</v>
      </c>
      <c r="C32" s="5" t="s">
        <v>339</v>
      </c>
      <c r="D32" s="171"/>
      <c r="E32" s="143"/>
      <c r="F32" s="143"/>
      <c r="G32" s="45" t="s">
        <v>10</v>
      </c>
    </row>
    <row r="33" spans="1:7" x14ac:dyDescent="0.25">
      <c r="A33" s="155" t="s">
        <v>209</v>
      </c>
      <c r="B33" s="56" t="s">
        <v>0</v>
      </c>
      <c r="C33" s="84" t="s">
        <v>486</v>
      </c>
      <c r="D33" s="172"/>
      <c r="E33" s="144"/>
      <c r="F33" s="144"/>
      <c r="G33" s="47" t="s">
        <v>2</v>
      </c>
    </row>
    <row r="34" spans="1:7" x14ac:dyDescent="0.25">
      <c r="A34" s="155" t="s">
        <v>209</v>
      </c>
      <c r="B34" s="56" t="s">
        <v>0</v>
      </c>
      <c r="C34" s="84" t="s">
        <v>487</v>
      </c>
      <c r="D34" s="172"/>
      <c r="E34" s="144"/>
      <c r="F34" s="144"/>
      <c r="G34" s="47" t="s">
        <v>12</v>
      </c>
    </row>
    <row r="35" spans="1:7" ht="15.75" thickBot="1" x14ac:dyDescent="0.3">
      <c r="A35" s="152" t="s">
        <v>209</v>
      </c>
      <c r="B35" s="56" t="s">
        <v>0</v>
      </c>
      <c r="C35" s="84" t="s">
        <v>380</v>
      </c>
      <c r="D35" s="172"/>
      <c r="E35" s="144"/>
      <c r="F35" s="144"/>
      <c r="G35" s="47" t="s">
        <v>10</v>
      </c>
    </row>
    <row r="36" spans="1:7" ht="15.75" x14ac:dyDescent="0.25">
      <c r="A36" s="149" t="s">
        <v>186</v>
      </c>
      <c r="B36" s="60" t="s">
        <v>0</v>
      </c>
      <c r="C36" s="63" t="s">
        <v>50</v>
      </c>
      <c r="D36" s="163">
        <v>3</v>
      </c>
      <c r="E36" s="133" t="s">
        <v>545</v>
      </c>
      <c r="F36" s="177" t="s">
        <v>546</v>
      </c>
      <c r="G36" s="80"/>
    </row>
    <row r="37" spans="1:7" x14ac:dyDescent="0.25">
      <c r="A37" s="150" t="s">
        <v>186</v>
      </c>
      <c r="B37" s="3" t="s">
        <v>0</v>
      </c>
      <c r="C37" s="5" t="s">
        <v>300</v>
      </c>
      <c r="D37" s="164"/>
      <c r="E37" s="145"/>
      <c r="F37" s="145"/>
      <c r="G37" s="78"/>
    </row>
    <row r="38" spans="1:7" x14ac:dyDescent="0.25">
      <c r="A38" s="150" t="s">
        <v>186</v>
      </c>
      <c r="B38" s="3" t="s">
        <v>0</v>
      </c>
      <c r="C38" s="5" t="s">
        <v>312</v>
      </c>
      <c r="D38" s="164"/>
      <c r="E38" s="145"/>
      <c r="F38" s="145"/>
      <c r="G38" s="78"/>
    </row>
    <row r="39" spans="1:7" x14ac:dyDescent="0.25">
      <c r="A39" s="150" t="s">
        <v>186</v>
      </c>
      <c r="B39" s="3" t="s">
        <v>0</v>
      </c>
      <c r="C39" s="5" t="s">
        <v>313</v>
      </c>
      <c r="D39" s="164"/>
      <c r="E39" s="145"/>
      <c r="F39" s="145"/>
      <c r="G39" s="78"/>
    </row>
    <row r="40" spans="1:7" x14ac:dyDescent="0.25">
      <c r="A40" s="150" t="s">
        <v>186</v>
      </c>
      <c r="B40" s="3" t="s">
        <v>0</v>
      </c>
      <c r="C40" s="5" t="s">
        <v>301</v>
      </c>
      <c r="D40" s="164"/>
      <c r="E40" s="145"/>
      <c r="F40" s="145"/>
      <c r="G40" s="78"/>
    </row>
    <row r="41" spans="1:7" x14ac:dyDescent="0.25">
      <c r="A41" s="150" t="s">
        <v>186</v>
      </c>
      <c r="B41" s="3" t="s">
        <v>0</v>
      </c>
      <c r="C41" s="5" t="s">
        <v>308</v>
      </c>
      <c r="D41" s="164"/>
      <c r="E41" s="145"/>
      <c r="F41" s="145"/>
      <c r="G41" s="78"/>
    </row>
    <row r="42" spans="1:7" x14ac:dyDescent="0.25">
      <c r="A42" s="150" t="s">
        <v>186</v>
      </c>
      <c r="B42" s="3" t="s">
        <v>0</v>
      </c>
      <c r="C42" s="5" t="s">
        <v>305</v>
      </c>
      <c r="D42" s="164"/>
      <c r="E42" s="145"/>
      <c r="F42" s="145"/>
      <c r="G42" s="78"/>
    </row>
    <row r="43" spans="1:7" x14ac:dyDescent="0.25">
      <c r="A43" s="150" t="s">
        <v>186</v>
      </c>
      <c r="B43" s="3" t="s">
        <v>0</v>
      </c>
      <c r="C43" s="5" t="s">
        <v>309</v>
      </c>
      <c r="D43" s="164"/>
      <c r="E43" s="145"/>
      <c r="F43" s="145"/>
      <c r="G43" s="78"/>
    </row>
    <row r="44" spans="1:7" x14ac:dyDescent="0.25">
      <c r="A44" s="150" t="s">
        <v>186</v>
      </c>
      <c r="B44" s="3" t="s">
        <v>0</v>
      </c>
      <c r="C44" s="5" t="s">
        <v>302</v>
      </c>
      <c r="D44" s="164"/>
      <c r="E44" s="145"/>
      <c r="F44" s="145"/>
      <c r="G44" s="78"/>
    </row>
    <row r="45" spans="1:7" x14ac:dyDescent="0.25">
      <c r="A45" s="150" t="s">
        <v>186</v>
      </c>
      <c r="B45" s="3" t="s">
        <v>0</v>
      </c>
      <c r="C45" s="5" t="s">
        <v>306</v>
      </c>
      <c r="D45" s="164"/>
      <c r="E45" s="145"/>
      <c r="F45" s="145"/>
      <c r="G45" s="78"/>
    </row>
    <row r="46" spans="1:7" x14ac:dyDescent="0.25">
      <c r="A46" s="150" t="s">
        <v>186</v>
      </c>
      <c r="B46" s="3" t="s">
        <v>0</v>
      </c>
      <c r="C46" s="5" t="s">
        <v>303</v>
      </c>
      <c r="D46" s="164"/>
      <c r="E46" s="145"/>
      <c r="F46" s="145"/>
      <c r="G46" s="78"/>
    </row>
    <row r="47" spans="1:7" x14ac:dyDescent="0.25">
      <c r="A47" s="150" t="s">
        <v>186</v>
      </c>
      <c r="B47" s="3" t="s">
        <v>0</v>
      </c>
      <c r="C47" s="5" t="s">
        <v>304</v>
      </c>
      <c r="D47" s="164"/>
      <c r="E47" s="145"/>
      <c r="F47" s="145"/>
      <c r="G47" s="78"/>
    </row>
    <row r="48" spans="1:7" x14ac:dyDescent="0.25">
      <c r="A48" s="150" t="s">
        <v>186</v>
      </c>
      <c r="B48" s="3" t="s">
        <v>0</v>
      </c>
      <c r="C48" s="5" t="s">
        <v>310</v>
      </c>
      <c r="D48" s="164"/>
      <c r="E48" s="145"/>
      <c r="F48" s="145"/>
      <c r="G48" s="78"/>
    </row>
    <row r="49" spans="1:7" x14ac:dyDescent="0.25">
      <c r="A49" s="150" t="s">
        <v>186</v>
      </c>
      <c r="B49" s="3" t="s">
        <v>0</v>
      </c>
      <c r="C49" s="5" t="s">
        <v>311</v>
      </c>
      <c r="D49" s="164"/>
      <c r="E49" s="145"/>
      <c r="F49" s="145"/>
      <c r="G49" s="78"/>
    </row>
    <row r="50" spans="1:7" ht="15.75" thickBot="1" x14ac:dyDescent="0.3">
      <c r="A50" s="154" t="s">
        <v>186</v>
      </c>
      <c r="B50" s="56" t="s">
        <v>0</v>
      </c>
      <c r="C50" s="84" t="s">
        <v>307</v>
      </c>
      <c r="D50" s="165"/>
      <c r="E50" s="136"/>
      <c r="F50" s="136"/>
      <c r="G50" s="85"/>
    </row>
    <row r="51" spans="1:7" ht="15.75" x14ac:dyDescent="0.25">
      <c r="A51" s="149" t="s">
        <v>198</v>
      </c>
      <c r="B51" s="60" t="s">
        <v>0</v>
      </c>
      <c r="C51" s="124" t="s">
        <v>63</v>
      </c>
      <c r="D51" s="163">
        <v>3</v>
      </c>
      <c r="E51" s="133" t="s">
        <v>545</v>
      </c>
      <c r="F51" s="177" t="s">
        <v>546</v>
      </c>
      <c r="G51" s="80"/>
    </row>
    <row r="52" spans="1:7" x14ac:dyDescent="0.25">
      <c r="A52" s="150" t="s">
        <v>198</v>
      </c>
      <c r="B52" s="3" t="s">
        <v>0</v>
      </c>
      <c r="C52" s="86" t="s">
        <v>343</v>
      </c>
      <c r="D52" s="164"/>
      <c r="E52" s="145"/>
      <c r="F52" s="145"/>
      <c r="G52" s="3"/>
    </row>
    <row r="53" spans="1:7" x14ac:dyDescent="0.25">
      <c r="A53" s="150" t="s">
        <v>198</v>
      </c>
      <c r="B53" s="3" t="s">
        <v>0</v>
      </c>
      <c r="C53" s="86" t="s">
        <v>324</v>
      </c>
      <c r="D53" s="164"/>
      <c r="E53" s="145"/>
      <c r="F53" s="145"/>
      <c r="G53" s="3"/>
    </row>
    <row r="54" spans="1:7" x14ac:dyDescent="0.25">
      <c r="A54" s="150" t="s">
        <v>198</v>
      </c>
      <c r="B54" s="3" t="s">
        <v>0</v>
      </c>
      <c r="C54" s="86" t="s">
        <v>325</v>
      </c>
      <c r="D54" s="164"/>
      <c r="E54" s="145"/>
      <c r="F54" s="145"/>
      <c r="G54" s="3"/>
    </row>
    <row r="55" spans="1:7" x14ac:dyDescent="0.25">
      <c r="A55" s="150" t="s">
        <v>198</v>
      </c>
      <c r="B55" s="3" t="s">
        <v>0</v>
      </c>
      <c r="C55" s="86" t="s">
        <v>323</v>
      </c>
      <c r="D55" s="164"/>
      <c r="E55" s="145"/>
      <c r="F55" s="145"/>
      <c r="G55" s="3"/>
    </row>
    <row r="56" spans="1:7" x14ac:dyDescent="0.25">
      <c r="A56" s="150" t="s">
        <v>198</v>
      </c>
      <c r="B56" s="3" t="s">
        <v>0</v>
      </c>
      <c r="C56" s="86" t="s">
        <v>341</v>
      </c>
      <c r="D56" s="164"/>
      <c r="E56" s="145"/>
      <c r="F56" s="145"/>
      <c r="G56" s="3"/>
    </row>
    <row r="57" spans="1:7" x14ac:dyDescent="0.25">
      <c r="A57" s="150" t="s">
        <v>198</v>
      </c>
      <c r="B57" s="3" t="s">
        <v>0</v>
      </c>
      <c r="C57" s="86" t="s">
        <v>342</v>
      </c>
      <c r="D57" s="164"/>
      <c r="E57" s="145"/>
      <c r="F57" s="145"/>
      <c r="G57" s="3"/>
    </row>
    <row r="58" spans="1:7" x14ac:dyDescent="0.25">
      <c r="A58" s="150" t="s">
        <v>198</v>
      </c>
      <c r="B58" s="3" t="s">
        <v>0</v>
      </c>
      <c r="C58" s="86" t="s">
        <v>326</v>
      </c>
      <c r="D58" s="164"/>
      <c r="E58" s="145"/>
      <c r="F58" s="145"/>
      <c r="G58" s="3"/>
    </row>
    <row r="59" spans="1:7" x14ac:dyDescent="0.25">
      <c r="A59" s="150" t="s">
        <v>198</v>
      </c>
      <c r="B59" s="3" t="s">
        <v>0</v>
      </c>
      <c r="C59" s="86" t="s">
        <v>327</v>
      </c>
      <c r="D59" s="164"/>
      <c r="E59" s="145"/>
      <c r="F59" s="145"/>
      <c r="G59" s="3"/>
    </row>
    <row r="60" spans="1:7" ht="15.75" thickBot="1" x14ac:dyDescent="0.3">
      <c r="A60" s="154" t="s">
        <v>198</v>
      </c>
      <c r="B60" s="56" t="s">
        <v>0</v>
      </c>
      <c r="C60" s="105" t="s">
        <v>489</v>
      </c>
      <c r="D60" s="165"/>
      <c r="E60" s="136"/>
      <c r="F60" s="136"/>
      <c r="G60" s="56"/>
    </row>
    <row r="61" spans="1:7" ht="15.75" x14ac:dyDescent="0.25">
      <c r="A61" s="149" t="s">
        <v>205</v>
      </c>
      <c r="B61" s="60" t="s">
        <v>0</v>
      </c>
      <c r="C61" s="63" t="s">
        <v>70</v>
      </c>
      <c r="D61" s="160">
        <v>3</v>
      </c>
      <c r="E61" s="133" t="s">
        <v>545</v>
      </c>
      <c r="F61" s="177" t="s">
        <v>546</v>
      </c>
      <c r="G61" s="80"/>
    </row>
    <row r="62" spans="1:7" x14ac:dyDescent="0.25">
      <c r="A62" s="150" t="s">
        <v>205</v>
      </c>
      <c r="B62" s="3" t="s">
        <v>0</v>
      </c>
      <c r="C62" s="5" t="s">
        <v>376</v>
      </c>
      <c r="D62" s="161"/>
      <c r="E62" s="134"/>
      <c r="F62" s="134"/>
      <c r="G62" s="78"/>
    </row>
    <row r="63" spans="1:7" ht="15.75" thickBot="1" x14ac:dyDescent="0.3">
      <c r="A63" s="154" t="s">
        <v>205</v>
      </c>
      <c r="B63" s="56" t="s">
        <v>0</v>
      </c>
      <c r="C63" s="84" t="s">
        <v>375</v>
      </c>
      <c r="D63" s="162"/>
      <c r="E63" s="146"/>
      <c r="F63" s="146"/>
      <c r="G63" s="85"/>
    </row>
    <row r="64" spans="1:7" ht="15.75" x14ac:dyDescent="0.25">
      <c r="A64" s="149" t="s">
        <v>206</v>
      </c>
      <c r="B64" s="60" t="s">
        <v>0</v>
      </c>
      <c r="C64" s="63" t="s">
        <v>71</v>
      </c>
      <c r="D64" s="160">
        <v>3</v>
      </c>
      <c r="E64" s="133" t="s">
        <v>545</v>
      </c>
      <c r="F64" s="177" t="s">
        <v>546</v>
      </c>
      <c r="G64" s="80"/>
    </row>
    <row r="65" spans="1:7" x14ac:dyDescent="0.25">
      <c r="A65" s="150" t="s">
        <v>206</v>
      </c>
      <c r="B65" s="3" t="s">
        <v>0</v>
      </c>
      <c r="C65" s="5" t="s">
        <v>377</v>
      </c>
      <c r="D65" s="161"/>
      <c r="E65" s="134"/>
      <c r="F65" s="134"/>
      <c r="G65" s="78"/>
    </row>
    <row r="66" spans="1:7" ht="14.45" customHeight="1" x14ac:dyDescent="0.25">
      <c r="A66" s="150" t="s">
        <v>206</v>
      </c>
      <c r="B66" s="3" t="s">
        <v>0</v>
      </c>
      <c r="C66" s="5" t="s">
        <v>378</v>
      </c>
      <c r="D66" s="161"/>
      <c r="E66" s="134"/>
      <c r="F66" s="134"/>
      <c r="G66" s="78"/>
    </row>
    <row r="67" spans="1:7" ht="15.75" thickBot="1" x14ac:dyDescent="0.3">
      <c r="A67" s="154" t="s">
        <v>206</v>
      </c>
      <c r="B67" s="56" t="s">
        <v>0</v>
      </c>
      <c r="C67" s="84" t="s">
        <v>379</v>
      </c>
      <c r="D67" s="162"/>
      <c r="E67" s="146"/>
      <c r="F67" s="146"/>
      <c r="G67" s="85"/>
    </row>
    <row r="68" spans="1:7" ht="15.75" x14ac:dyDescent="0.25">
      <c r="A68" s="149" t="s">
        <v>258</v>
      </c>
      <c r="B68" s="62" t="s">
        <v>0</v>
      </c>
      <c r="C68" s="63" t="s">
        <v>147</v>
      </c>
      <c r="D68" s="163">
        <v>3</v>
      </c>
      <c r="E68" s="133" t="s">
        <v>545</v>
      </c>
      <c r="F68" s="177" t="s">
        <v>546</v>
      </c>
      <c r="G68" s="57" t="s">
        <v>12</v>
      </c>
    </row>
    <row r="69" spans="1:7" x14ac:dyDescent="0.25">
      <c r="A69" s="150" t="s">
        <v>258</v>
      </c>
      <c r="B69" s="8" t="s">
        <v>0</v>
      </c>
      <c r="C69" s="5" t="s">
        <v>479</v>
      </c>
      <c r="D69" s="164"/>
      <c r="E69" s="145"/>
      <c r="F69" s="145"/>
      <c r="G69" s="49" t="s">
        <v>12</v>
      </c>
    </row>
    <row r="70" spans="1:7" x14ac:dyDescent="0.25">
      <c r="A70" s="150" t="s">
        <v>258</v>
      </c>
      <c r="B70" s="8" t="s">
        <v>0</v>
      </c>
      <c r="C70" s="5" t="s">
        <v>480</v>
      </c>
      <c r="D70" s="164"/>
      <c r="E70" s="145"/>
      <c r="F70" s="145"/>
      <c r="G70" s="49" t="s">
        <v>12</v>
      </c>
    </row>
    <row r="71" spans="1:7" x14ac:dyDescent="0.25">
      <c r="A71" s="150" t="s">
        <v>258</v>
      </c>
      <c r="B71" s="8" t="s">
        <v>0</v>
      </c>
      <c r="C71" s="5" t="s">
        <v>484</v>
      </c>
      <c r="D71" s="164"/>
      <c r="E71" s="145"/>
      <c r="F71" s="145"/>
      <c r="G71" s="49" t="s">
        <v>12</v>
      </c>
    </row>
    <row r="72" spans="1:7" ht="15.75" thickBot="1" x14ac:dyDescent="0.3">
      <c r="A72" s="151" t="s">
        <v>258</v>
      </c>
      <c r="B72" s="69" t="s">
        <v>0</v>
      </c>
      <c r="C72" s="70" t="s">
        <v>478</v>
      </c>
      <c r="D72" s="169"/>
      <c r="E72" s="140"/>
      <c r="F72" s="140"/>
      <c r="G72" s="58" t="s">
        <v>12</v>
      </c>
    </row>
    <row r="73" spans="1:7" ht="15.75" x14ac:dyDescent="0.25">
      <c r="A73" s="155" t="s">
        <v>207</v>
      </c>
      <c r="B73" s="73" t="s">
        <v>0</v>
      </c>
      <c r="C73" s="82" t="s">
        <v>72</v>
      </c>
      <c r="D73" s="166">
        <v>3</v>
      </c>
      <c r="E73" s="133" t="s">
        <v>545</v>
      </c>
      <c r="F73" s="177" t="s">
        <v>546</v>
      </c>
      <c r="G73" s="83"/>
    </row>
    <row r="74" spans="1:7" x14ac:dyDescent="0.25">
      <c r="A74" s="150" t="s">
        <v>207</v>
      </c>
      <c r="B74" s="3" t="s">
        <v>0</v>
      </c>
      <c r="C74" s="5" t="s">
        <v>334</v>
      </c>
      <c r="D74" s="161"/>
      <c r="E74" s="134"/>
      <c r="F74" s="134"/>
      <c r="G74" s="3"/>
    </row>
    <row r="75" spans="1:7" x14ac:dyDescent="0.25">
      <c r="A75" s="150" t="s">
        <v>207</v>
      </c>
      <c r="B75" s="3" t="s">
        <v>0</v>
      </c>
      <c r="C75" s="5" t="s">
        <v>332</v>
      </c>
      <c r="D75" s="161"/>
      <c r="E75" s="134"/>
      <c r="F75" s="134"/>
      <c r="G75" s="3"/>
    </row>
    <row r="76" spans="1:7" x14ac:dyDescent="0.25">
      <c r="A76" s="150" t="s">
        <v>207</v>
      </c>
      <c r="B76" s="3" t="s">
        <v>0</v>
      </c>
      <c r="C76" s="5" t="s">
        <v>328</v>
      </c>
      <c r="D76" s="161"/>
      <c r="E76" s="134"/>
      <c r="F76" s="134"/>
      <c r="G76" s="3"/>
    </row>
    <row r="77" spans="1:7" x14ac:dyDescent="0.25">
      <c r="A77" s="150" t="s">
        <v>207</v>
      </c>
      <c r="B77" s="3" t="s">
        <v>0</v>
      </c>
      <c r="C77" s="5" t="s">
        <v>333</v>
      </c>
      <c r="D77" s="161"/>
      <c r="E77" s="134"/>
      <c r="F77" s="134"/>
      <c r="G77" s="3"/>
    </row>
    <row r="78" spans="1:7" x14ac:dyDescent="0.25">
      <c r="A78" s="150" t="s">
        <v>207</v>
      </c>
      <c r="B78" s="3" t="s">
        <v>0</v>
      </c>
      <c r="C78" s="5" t="s">
        <v>331</v>
      </c>
      <c r="D78" s="161"/>
      <c r="E78" s="134"/>
      <c r="F78" s="134"/>
      <c r="G78" s="3"/>
    </row>
    <row r="79" spans="1:7" x14ac:dyDescent="0.25">
      <c r="A79" s="150" t="s">
        <v>207</v>
      </c>
      <c r="B79" s="3" t="s">
        <v>0</v>
      </c>
      <c r="C79" s="5" t="s">
        <v>329</v>
      </c>
      <c r="D79" s="161"/>
      <c r="E79" s="134"/>
      <c r="F79" s="134"/>
      <c r="G79" s="3"/>
    </row>
    <row r="80" spans="1:7" x14ac:dyDescent="0.25">
      <c r="A80" s="150" t="s">
        <v>207</v>
      </c>
      <c r="B80" s="3" t="s">
        <v>0</v>
      </c>
      <c r="C80" s="5" t="s">
        <v>335</v>
      </c>
      <c r="D80" s="161"/>
      <c r="E80" s="134"/>
      <c r="F80" s="134"/>
      <c r="G80" s="3"/>
    </row>
    <row r="81" spans="1:7" ht="15.75" thickBot="1" x14ac:dyDescent="0.3">
      <c r="A81" s="151" t="s">
        <v>207</v>
      </c>
      <c r="B81" s="66" t="s">
        <v>0</v>
      </c>
      <c r="C81" s="70" t="s">
        <v>330</v>
      </c>
      <c r="D81" s="167"/>
      <c r="E81" s="135"/>
      <c r="F81" s="135"/>
      <c r="G81" s="66"/>
    </row>
    <row r="82" spans="1:7" ht="15.75" x14ac:dyDescent="0.25">
      <c r="A82" s="155" t="s">
        <v>225</v>
      </c>
      <c r="B82" s="89" t="s">
        <v>0</v>
      </c>
      <c r="C82" s="82" t="s">
        <v>88</v>
      </c>
      <c r="D82" s="168">
        <v>3</v>
      </c>
      <c r="E82" s="133" t="s">
        <v>545</v>
      </c>
      <c r="F82" s="177" t="s">
        <v>546</v>
      </c>
      <c r="G82" s="73"/>
    </row>
    <row r="83" spans="1:7" x14ac:dyDescent="0.25">
      <c r="A83" s="150" t="s">
        <v>225</v>
      </c>
      <c r="B83" s="8" t="s">
        <v>0</v>
      </c>
      <c r="C83" s="5" t="s">
        <v>406</v>
      </c>
      <c r="D83" s="164"/>
      <c r="E83" s="145"/>
      <c r="F83" s="145"/>
      <c r="G83" s="3"/>
    </row>
    <row r="84" spans="1:7" x14ac:dyDescent="0.25">
      <c r="A84" s="150" t="s">
        <v>225</v>
      </c>
      <c r="B84" s="8" t="s">
        <v>0</v>
      </c>
      <c r="C84" s="5" t="s">
        <v>407</v>
      </c>
      <c r="D84" s="164"/>
      <c r="E84" s="145"/>
      <c r="F84" s="145"/>
      <c r="G84" s="3"/>
    </row>
    <row r="85" spans="1:7" ht="15.75" thickBot="1" x14ac:dyDescent="0.3">
      <c r="A85" s="151" t="s">
        <v>225</v>
      </c>
      <c r="B85" s="69" t="s">
        <v>0</v>
      </c>
      <c r="C85" s="70" t="s">
        <v>408</v>
      </c>
      <c r="D85" s="169"/>
      <c r="E85" s="140"/>
      <c r="F85" s="140"/>
      <c r="G85" s="66"/>
    </row>
    <row r="86" spans="1:7" ht="15.75" x14ac:dyDescent="0.25">
      <c r="A86" s="155" t="s">
        <v>210</v>
      </c>
      <c r="B86" s="73" t="s">
        <v>0</v>
      </c>
      <c r="C86" s="82" t="s">
        <v>75</v>
      </c>
      <c r="D86" s="168">
        <v>3</v>
      </c>
      <c r="E86" s="133" t="s">
        <v>545</v>
      </c>
      <c r="F86" s="177" t="s">
        <v>546</v>
      </c>
      <c r="G86" s="158" t="s">
        <v>24</v>
      </c>
    </row>
    <row r="87" spans="1:7" ht="15" customHeight="1" x14ac:dyDescent="0.25">
      <c r="A87" s="150" t="s">
        <v>210</v>
      </c>
      <c r="B87" s="3" t="s">
        <v>0</v>
      </c>
      <c r="C87" s="5" t="s">
        <v>535</v>
      </c>
      <c r="D87" s="164"/>
      <c r="E87" s="145"/>
      <c r="F87" s="145"/>
      <c r="G87" s="45" t="s">
        <v>24</v>
      </c>
    </row>
    <row r="88" spans="1:7" x14ac:dyDescent="0.25">
      <c r="A88" s="150" t="s">
        <v>210</v>
      </c>
      <c r="B88" s="3" t="s">
        <v>0</v>
      </c>
      <c r="C88" s="5" t="s">
        <v>536</v>
      </c>
      <c r="D88" s="164"/>
      <c r="E88" s="145"/>
      <c r="F88" s="145"/>
      <c r="G88" s="45" t="s">
        <v>24</v>
      </c>
    </row>
    <row r="89" spans="1:7" ht="14.45" customHeight="1" x14ac:dyDescent="0.25">
      <c r="A89" s="150" t="s">
        <v>210</v>
      </c>
      <c r="B89" s="3" t="s">
        <v>0</v>
      </c>
      <c r="C89" s="5" t="s">
        <v>537</v>
      </c>
      <c r="D89" s="164"/>
      <c r="E89" s="145"/>
      <c r="F89" s="145"/>
      <c r="G89" s="45" t="s">
        <v>24</v>
      </c>
    </row>
    <row r="90" spans="1:7" ht="15.75" thickBot="1" x14ac:dyDescent="0.3">
      <c r="A90" s="151" t="s">
        <v>210</v>
      </c>
      <c r="B90" s="66" t="s">
        <v>0</v>
      </c>
      <c r="C90" s="70" t="s">
        <v>538</v>
      </c>
      <c r="D90" s="169"/>
      <c r="E90" s="140"/>
      <c r="F90" s="140"/>
      <c r="G90" s="46" t="s">
        <v>24</v>
      </c>
    </row>
    <row r="91" spans="1:7" ht="15.75" x14ac:dyDescent="0.25">
      <c r="A91" s="155" t="s">
        <v>297</v>
      </c>
      <c r="B91" s="73" t="s">
        <v>0</v>
      </c>
      <c r="C91" s="82" t="s">
        <v>89</v>
      </c>
      <c r="D91" s="168">
        <v>3</v>
      </c>
      <c r="E91" s="133" t="s">
        <v>545</v>
      </c>
      <c r="F91" s="177" t="s">
        <v>546</v>
      </c>
      <c r="G91" s="83"/>
    </row>
    <row r="92" spans="1:7" x14ac:dyDescent="0.25">
      <c r="A92" s="150" t="s">
        <v>297</v>
      </c>
      <c r="B92" s="3" t="s">
        <v>0</v>
      </c>
      <c r="C92" s="86" t="s">
        <v>314</v>
      </c>
      <c r="D92" s="164"/>
      <c r="E92" s="145"/>
      <c r="F92" s="145"/>
      <c r="G92" s="78" t="s">
        <v>6</v>
      </c>
    </row>
    <row r="93" spans="1:7" x14ac:dyDescent="0.25">
      <c r="A93" s="150" t="s">
        <v>297</v>
      </c>
      <c r="B93" s="3" t="s">
        <v>0</v>
      </c>
      <c r="C93" s="86" t="s">
        <v>315</v>
      </c>
      <c r="D93" s="164"/>
      <c r="E93" s="145"/>
      <c r="F93" s="145"/>
      <c r="G93" s="78" t="s">
        <v>6</v>
      </c>
    </row>
    <row r="94" spans="1:7" ht="15.75" thickBot="1" x14ac:dyDescent="0.3">
      <c r="A94" s="151" t="s">
        <v>297</v>
      </c>
      <c r="B94" s="66" t="s">
        <v>0</v>
      </c>
      <c r="C94" s="87" t="s">
        <v>316</v>
      </c>
      <c r="D94" s="169"/>
      <c r="E94" s="140"/>
      <c r="F94" s="140"/>
      <c r="G94" s="81" t="s">
        <v>6</v>
      </c>
    </row>
    <row r="95" spans="1:7" ht="15.75" x14ac:dyDescent="0.25">
      <c r="A95" s="155" t="s">
        <v>201</v>
      </c>
      <c r="B95" s="89" t="s">
        <v>0</v>
      </c>
      <c r="C95" s="82" t="s">
        <v>66</v>
      </c>
      <c r="D95" s="166">
        <v>3</v>
      </c>
      <c r="E95" s="133" t="s">
        <v>545</v>
      </c>
      <c r="F95" s="177" t="s">
        <v>546</v>
      </c>
      <c r="G95" s="73"/>
    </row>
    <row r="96" spans="1:7" x14ac:dyDescent="0.25">
      <c r="A96" s="150" t="s">
        <v>201</v>
      </c>
      <c r="B96" s="8" t="s">
        <v>0</v>
      </c>
      <c r="C96" s="5" t="s">
        <v>437</v>
      </c>
      <c r="D96" s="161"/>
      <c r="E96" s="134"/>
      <c r="F96" s="134"/>
      <c r="G96" s="49" t="s">
        <v>4</v>
      </c>
    </row>
    <row r="97" spans="1:7" ht="15.75" thickBot="1" x14ac:dyDescent="0.3">
      <c r="A97" s="151" t="s">
        <v>201</v>
      </c>
      <c r="B97" s="69" t="s">
        <v>0</v>
      </c>
      <c r="C97" s="70" t="s">
        <v>436</v>
      </c>
      <c r="D97" s="167"/>
      <c r="E97" s="135"/>
      <c r="F97" s="135"/>
      <c r="G97" s="58" t="s">
        <v>4</v>
      </c>
    </row>
    <row r="98" spans="1:7" ht="15.75" x14ac:dyDescent="0.25">
      <c r="A98" s="155" t="s">
        <v>224</v>
      </c>
      <c r="B98" s="89" t="s">
        <v>0</v>
      </c>
      <c r="C98" s="82" t="s">
        <v>87</v>
      </c>
      <c r="D98" s="166">
        <v>3</v>
      </c>
      <c r="E98" s="133" t="s">
        <v>545</v>
      </c>
      <c r="F98" s="177" t="s">
        <v>546</v>
      </c>
      <c r="G98" s="48"/>
    </row>
    <row r="99" spans="1:7" ht="15.75" thickBot="1" x14ac:dyDescent="0.3">
      <c r="A99" s="151" t="s">
        <v>224</v>
      </c>
      <c r="B99" s="69" t="s">
        <v>0</v>
      </c>
      <c r="C99" s="70" t="s">
        <v>531</v>
      </c>
      <c r="D99" s="167"/>
      <c r="E99" s="135"/>
      <c r="F99" s="135"/>
      <c r="G99" s="58" t="s">
        <v>23</v>
      </c>
    </row>
    <row r="100" spans="1:7" ht="15.75" x14ac:dyDescent="0.25">
      <c r="A100" s="155" t="s">
        <v>241</v>
      </c>
      <c r="B100" s="89" t="s">
        <v>0</v>
      </c>
      <c r="C100" s="82" t="s">
        <v>124</v>
      </c>
      <c r="D100" s="166">
        <v>3</v>
      </c>
      <c r="E100" s="133" t="s">
        <v>545</v>
      </c>
      <c r="F100" s="177" t="s">
        <v>546</v>
      </c>
      <c r="G100" s="83"/>
    </row>
    <row r="101" spans="1:7" x14ac:dyDescent="0.25">
      <c r="A101" s="150" t="s">
        <v>241</v>
      </c>
      <c r="B101" s="8" t="s">
        <v>0</v>
      </c>
      <c r="C101" s="5" t="s">
        <v>392</v>
      </c>
      <c r="D101" s="161"/>
      <c r="E101" s="134"/>
      <c r="F101" s="134"/>
      <c r="G101" s="78"/>
    </row>
    <row r="102" spans="1:7" x14ac:dyDescent="0.25">
      <c r="A102" s="150" t="s">
        <v>241</v>
      </c>
      <c r="B102" s="8" t="s">
        <v>0</v>
      </c>
      <c r="C102" s="5" t="s">
        <v>393</v>
      </c>
      <c r="D102" s="161"/>
      <c r="E102" s="134"/>
      <c r="F102" s="134"/>
      <c r="G102" s="78"/>
    </row>
    <row r="103" spans="1:7" x14ac:dyDescent="0.25">
      <c r="A103" s="150" t="s">
        <v>241</v>
      </c>
      <c r="B103" s="8" t="s">
        <v>0</v>
      </c>
      <c r="C103" s="5" t="s">
        <v>394</v>
      </c>
      <c r="D103" s="161"/>
      <c r="E103" s="134"/>
      <c r="F103" s="134"/>
      <c r="G103" s="78"/>
    </row>
    <row r="104" spans="1:7" x14ac:dyDescent="0.25">
      <c r="A104" s="150" t="s">
        <v>241</v>
      </c>
      <c r="B104" s="8" t="s">
        <v>0</v>
      </c>
      <c r="C104" s="5" t="s">
        <v>395</v>
      </c>
      <c r="D104" s="161"/>
      <c r="E104" s="134"/>
      <c r="F104" s="134"/>
      <c r="G104" s="78"/>
    </row>
    <row r="105" spans="1:7" x14ac:dyDescent="0.25">
      <c r="A105" s="150" t="s">
        <v>241</v>
      </c>
      <c r="B105" s="8" t="s">
        <v>0</v>
      </c>
      <c r="C105" s="5" t="s">
        <v>396</v>
      </c>
      <c r="D105" s="161"/>
      <c r="E105" s="134"/>
      <c r="F105" s="134"/>
      <c r="G105" s="78"/>
    </row>
    <row r="106" spans="1:7" x14ac:dyDescent="0.25">
      <c r="A106" s="150" t="s">
        <v>241</v>
      </c>
      <c r="B106" s="8" t="s">
        <v>0</v>
      </c>
      <c r="C106" s="5" t="s">
        <v>397</v>
      </c>
      <c r="D106" s="161"/>
      <c r="E106" s="134"/>
      <c r="F106" s="134"/>
      <c r="G106" s="78"/>
    </row>
    <row r="107" spans="1:7" x14ac:dyDescent="0.25">
      <c r="A107" s="150" t="s">
        <v>241</v>
      </c>
      <c r="B107" s="8" t="s">
        <v>0</v>
      </c>
      <c r="C107" s="5" t="s">
        <v>398</v>
      </c>
      <c r="D107" s="161"/>
      <c r="E107" s="134"/>
      <c r="F107" s="134"/>
      <c r="G107" s="78"/>
    </row>
    <row r="108" spans="1:7" x14ac:dyDescent="0.25">
      <c r="A108" s="150" t="s">
        <v>241</v>
      </c>
      <c r="B108" s="8" t="s">
        <v>0</v>
      </c>
      <c r="C108" s="5" t="s">
        <v>399</v>
      </c>
      <c r="D108" s="161"/>
      <c r="E108" s="134"/>
      <c r="F108" s="134"/>
      <c r="G108" s="78"/>
    </row>
    <row r="109" spans="1:7" x14ac:dyDescent="0.25">
      <c r="A109" s="150" t="s">
        <v>241</v>
      </c>
      <c r="B109" s="8" t="s">
        <v>0</v>
      </c>
      <c r="C109" s="5" t="s">
        <v>400</v>
      </c>
      <c r="D109" s="161"/>
      <c r="E109" s="134"/>
      <c r="F109" s="134"/>
      <c r="G109" s="78"/>
    </row>
    <row r="110" spans="1:7" ht="15.75" thickBot="1" x14ac:dyDescent="0.3">
      <c r="A110" s="151" t="s">
        <v>241</v>
      </c>
      <c r="B110" s="69" t="s">
        <v>0</v>
      </c>
      <c r="C110" s="70" t="s">
        <v>401</v>
      </c>
      <c r="D110" s="167"/>
      <c r="E110" s="135"/>
      <c r="F110" s="135"/>
      <c r="G110" s="81"/>
    </row>
    <row r="111" spans="1:7" ht="15.75" x14ac:dyDescent="0.25">
      <c r="A111" s="155" t="s">
        <v>203</v>
      </c>
      <c r="B111" s="73" t="s">
        <v>0</v>
      </c>
      <c r="C111" s="82" t="s">
        <v>68</v>
      </c>
      <c r="D111" s="168">
        <v>3</v>
      </c>
      <c r="E111" s="133" t="s">
        <v>545</v>
      </c>
      <c r="F111" s="177" t="s">
        <v>546</v>
      </c>
      <c r="G111" s="83"/>
    </row>
    <row r="112" spans="1:7" x14ac:dyDescent="0.25">
      <c r="A112" s="150" t="s">
        <v>203</v>
      </c>
      <c r="B112" s="3" t="s">
        <v>0</v>
      </c>
      <c r="C112" s="5" t="s">
        <v>363</v>
      </c>
      <c r="D112" s="164"/>
      <c r="E112" s="145"/>
      <c r="F112" s="145"/>
      <c r="G112" s="45" t="s">
        <v>23</v>
      </c>
    </row>
    <row r="113" spans="1:7" x14ac:dyDescent="0.25">
      <c r="A113" s="150" t="s">
        <v>203</v>
      </c>
      <c r="B113" s="3" t="s">
        <v>0</v>
      </c>
      <c r="C113" s="5" t="s">
        <v>364</v>
      </c>
      <c r="D113" s="164"/>
      <c r="E113" s="145"/>
      <c r="F113" s="145"/>
      <c r="G113" s="45" t="s">
        <v>23</v>
      </c>
    </row>
    <row r="114" spans="1:7" x14ac:dyDescent="0.25">
      <c r="A114" s="150" t="s">
        <v>203</v>
      </c>
      <c r="B114" s="3" t="s">
        <v>0</v>
      </c>
      <c r="C114" s="5" t="s">
        <v>365</v>
      </c>
      <c r="D114" s="164"/>
      <c r="E114" s="145"/>
      <c r="F114" s="145"/>
      <c r="G114" s="45" t="s">
        <v>23</v>
      </c>
    </row>
    <row r="115" spans="1:7" x14ac:dyDescent="0.25">
      <c r="A115" s="150" t="s">
        <v>203</v>
      </c>
      <c r="B115" s="3" t="s">
        <v>0</v>
      </c>
      <c r="C115" s="5" t="s">
        <v>366</v>
      </c>
      <c r="D115" s="164"/>
      <c r="E115" s="145"/>
      <c r="F115" s="145"/>
      <c r="G115" s="45" t="s">
        <v>23</v>
      </c>
    </row>
    <row r="116" spans="1:7" x14ac:dyDescent="0.25">
      <c r="A116" s="150" t="s">
        <v>203</v>
      </c>
      <c r="B116" s="3" t="s">
        <v>0</v>
      </c>
      <c r="C116" s="5" t="s">
        <v>367</v>
      </c>
      <c r="D116" s="164"/>
      <c r="E116" s="145"/>
      <c r="F116" s="145"/>
      <c r="G116" s="45" t="s">
        <v>24</v>
      </c>
    </row>
    <row r="117" spans="1:7" x14ac:dyDescent="0.25">
      <c r="A117" s="150" t="s">
        <v>203</v>
      </c>
      <c r="B117" s="3" t="s">
        <v>0</v>
      </c>
      <c r="C117" s="5" t="s">
        <v>368</v>
      </c>
      <c r="D117" s="164"/>
      <c r="E117" s="145"/>
      <c r="F117" s="145"/>
      <c r="G117" s="45" t="s">
        <v>24</v>
      </c>
    </row>
    <row r="118" spans="1:7" x14ac:dyDescent="0.25">
      <c r="A118" s="150" t="s">
        <v>203</v>
      </c>
      <c r="B118" s="3" t="s">
        <v>0</v>
      </c>
      <c r="C118" s="5" t="s">
        <v>369</v>
      </c>
      <c r="D118" s="164"/>
      <c r="E118" s="145"/>
      <c r="F118" s="145"/>
      <c r="G118" s="45" t="s">
        <v>24</v>
      </c>
    </row>
    <row r="119" spans="1:7" x14ac:dyDescent="0.25">
      <c r="A119" s="150" t="s">
        <v>203</v>
      </c>
      <c r="B119" s="3" t="s">
        <v>0</v>
      </c>
      <c r="C119" s="5" t="s">
        <v>370</v>
      </c>
      <c r="D119" s="164"/>
      <c r="E119" s="145"/>
      <c r="F119" s="145"/>
      <c r="G119" s="45" t="s">
        <v>24</v>
      </c>
    </row>
    <row r="120" spans="1:7" x14ac:dyDescent="0.25">
      <c r="A120" s="150" t="s">
        <v>203</v>
      </c>
      <c r="B120" s="3" t="s">
        <v>0</v>
      </c>
      <c r="C120" s="5" t="s">
        <v>371</v>
      </c>
      <c r="D120" s="164"/>
      <c r="E120" s="145"/>
      <c r="F120" s="145"/>
      <c r="G120" s="45" t="s">
        <v>24</v>
      </c>
    </row>
    <row r="121" spans="1:7" x14ac:dyDescent="0.25">
      <c r="A121" s="150" t="s">
        <v>203</v>
      </c>
      <c r="B121" s="3" t="s">
        <v>0</v>
      </c>
      <c r="C121" s="5" t="s">
        <v>374</v>
      </c>
      <c r="D121" s="164"/>
      <c r="E121" s="145"/>
      <c r="F121" s="145"/>
      <c r="G121" s="45" t="s">
        <v>24</v>
      </c>
    </row>
    <row r="122" spans="1:7" x14ac:dyDescent="0.25">
      <c r="A122" s="150" t="s">
        <v>203</v>
      </c>
      <c r="B122" s="3" t="s">
        <v>0</v>
      </c>
      <c r="C122" s="5" t="s">
        <v>34</v>
      </c>
      <c r="D122" s="164"/>
      <c r="E122" s="145"/>
      <c r="F122" s="145"/>
      <c r="G122" s="45" t="s">
        <v>24</v>
      </c>
    </row>
    <row r="123" spans="1:7" ht="15.75" thickBot="1" x14ac:dyDescent="0.3">
      <c r="A123" s="151" t="s">
        <v>203</v>
      </c>
      <c r="B123" s="66" t="s">
        <v>0</v>
      </c>
      <c r="C123" s="70" t="s">
        <v>348</v>
      </c>
      <c r="D123" s="169"/>
      <c r="E123" s="140"/>
      <c r="F123" s="140"/>
      <c r="G123" s="46" t="s">
        <v>24</v>
      </c>
    </row>
    <row r="124" spans="1:7" ht="15.75" x14ac:dyDescent="0.25">
      <c r="A124" s="155" t="s">
        <v>236</v>
      </c>
      <c r="B124" s="89" t="s">
        <v>0</v>
      </c>
      <c r="C124" s="82" t="s">
        <v>110</v>
      </c>
      <c r="D124" s="168">
        <v>3</v>
      </c>
      <c r="E124" s="133" t="s">
        <v>545</v>
      </c>
      <c r="F124" s="177" t="s">
        <v>546</v>
      </c>
      <c r="G124" s="83"/>
    </row>
    <row r="125" spans="1:7" x14ac:dyDescent="0.25">
      <c r="A125" s="150" t="s">
        <v>236</v>
      </c>
      <c r="B125" s="8" t="s">
        <v>0</v>
      </c>
      <c r="C125" s="5" t="s">
        <v>499</v>
      </c>
      <c r="D125" s="164"/>
      <c r="E125" s="145"/>
      <c r="F125" s="145"/>
      <c r="G125" s="78" t="s">
        <v>26</v>
      </c>
    </row>
    <row r="126" spans="1:7" ht="15.75" thickBot="1" x14ac:dyDescent="0.3">
      <c r="A126" s="151" t="s">
        <v>236</v>
      </c>
      <c r="B126" s="69" t="s">
        <v>0</v>
      </c>
      <c r="C126" s="70" t="s">
        <v>501</v>
      </c>
      <c r="D126" s="169"/>
      <c r="E126" s="140"/>
      <c r="F126" s="140"/>
      <c r="G126" s="81" t="s">
        <v>26</v>
      </c>
    </row>
    <row r="127" spans="1:7" ht="15.75" x14ac:dyDescent="0.25">
      <c r="A127" s="155" t="s">
        <v>239</v>
      </c>
      <c r="B127" s="89" t="s">
        <v>0</v>
      </c>
      <c r="C127" s="82" t="s">
        <v>117</v>
      </c>
      <c r="D127" s="166">
        <v>3</v>
      </c>
      <c r="E127" s="133" t="s">
        <v>545</v>
      </c>
      <c r="F127" s="177" t="s">
        <v>546</v>
      </c>
      <c r="G127" s="73"/>
    </row>
    <row r="128" spans="1:7" x14ac:dyDescent="0.25">
      <c r="A128" s="150" t="s">
        <v>239</v>
      </c>
      <c r="B128" s="8" t="s">
        <v>0</v>
      </c>
      <c r="C128" s="5" t="s">
        <v>403</v>
      </c>
      <c r="D128" s="161"/>
      <c r="E128" s="134"/>
      <c r="F128" s="134"/>
      <c r="G128" s="3"/>
    </row>
    <row r="129" spans="1:7" x14ac:dyDescent="0.25">
      <c r="A129" s="150" t="s">
        <v>239</v>
      </c>
      <c r="B129" s="8" t="s">
        <v>0</v>
      </c>
      <c r="C129" s="5" t="s">
        <v>404</v>
      </c>
      <c r="D129" s="161"/>
      <c r="E129" s="134"/>
      <c r="F129" s="134"/>
      <c r="G129" s="3"/>
    </row>
    <row r="130" spans="1:7" ht="15.75" thickBot="1" x14ac:dyDescent="0.3">
      <c r="A130" s="151" t="s">
        <v>239</v>
      </c>
      <c r="B130" s="69" t="s">
        <v>0</v>
      </c>
      <c r="C130" s="70" t="s">
        <v>405</v>
      </c>
      <c r="D130" s="167"/>
      <c r="E130" s="135"/>
      <c r="F130" s="135"/>
      <c r="G130" s="66"/>
    </row>
    <row r="131" spans="1:7" ht="15.75" x14ac:dyDescent="0.25">
      <c r="A131" s="155" t="s">
        <v>190</v>
      </c>
      <c r="B131" s="89" t="s">
        <v>0</v>
      </c>
      <c r="C131" s="82" t="s">
        <v>55</v>
      </c>
      <c r="D131" s="168">
        <v>4</v>
      </c>
      <c r="E131" s="133" t="s">
        <v>545</v>
      </c>
      <c r="F131" s="177" t="s">
        <v>546</v>
      </c>
      <c r="G131" s="73"/>
    </row>
    <row r="132" spans="1:7" x14ac:dyDescent="0.25">
      <c r="A132" s="150" t="s">
        <v>190</v>
      </c>
      <c r="B132" s="8" t="s">
        <v>0</v>
      </c>
      <c r="C132" s="5" t="s">
        <v>464</v>
      </c>
      <c r="D132" s="164"/>
      <c r="E132" s="145"/>
      <c r="F132" s="145"/>
      <c r="G132" s="3"/>
    </row>
    <row r="133" spans="1:7" x14ac:dyDescent="0.25">
      <c r="A133" s="150" t="s">
        <v>190</v>
      </c>
      <c r="B133" s="8" t="s">
        <v>0</v>
      </c>
      <c r="C133" s="5" t="s">
        <v>465</v>
      </c>
      <c r="D133" s="164"/>
      <c r="E133" s="145"/>
      <c r="F133" s="145"/>
      <c r="G133" s="3"/>
    </row>
    <row r="134" spans="1:7" x14ac:dyDescent="0.25">
      <c r="A134" s="150" t="s">
        <v>190</v>
      </c>
      <c r="B134" s="8" t="s">
        <v>0</v>
      </c>
      <c r="C134" s="5" t="s">
        <v>474</v>
      </c>
      <c r="D134" s="164"/>
      <c r="E134" s="145"/>
      <c r="F134" s="145"/>
      <c r="G134" s="3"/>
    </row>
    <row r="135" spans="1:7" x14ac:dyDescent="0.25">
      <c r="A135" s="150" t="s">
        <v>190</v>
      </c>
      <c r="B135" s="8" t="s">
        <v>0</v>
      </c>
      <c r="C135" s="5" t="s">
        <v>473</v>
      </c>
      <c r="D135" s="164"/>
      <c r="E135" s="145"/>
      <c r="F135" s="145"/>
      <c r="G135" s="3"/>
    </row>
    <row r="136" spans="1:7" x14ac:dyDescent="0.25">
      <c r="A136" s="150" t="s">
        <v>190</v>
      </c>
      <c r="B136" s="8" t="s">
        <v>0</v>
      </c>
      <c r="C136" s="5" t="s">
        <v>470</v>
      </c>
      <c r="D136" s="164"/>
      <c r="E136" s="145"/>
      <c r="F136" s="145"/>
      <c r="G136" s="3"/>
    </row>
    <row r="137" spans="1:7" x14ac:dyDescent="0.25">
      <c r="A137" s="150" t="s">
        <v>190</v>
      </c>
      <c r="B137" s="8" t="s">
        <v>0</v>
      </c>
      <c r="C137" s="5" t="s">
        <v>471</v>
      </c>
      <c r="D137" s="164"/>
      <c r="E137" s="145"/>
      <c r="F137" s="145"/>
      <c r="G137" s="3"/>
    </row>
    <row r="138" spans="1:7" x14ac:dyDescent="0.25">
      <c r="A138" s="150" t="s">
        <v>190</v>
      </c>
      <c r="B138" s="8" t="s">
        <v>0</v>
      </c>
      <c r="C138" s="5" t="s">
        <v>472</v>
      </c>
      <c r="D138" s="164"/>
      <c r="E138" s="145"/>
      <c r="F138" s="145"/>
      <c r="G138" s="3"/>
    </row>
    <row r="139" spans="1:7" x14ac:dyDescent="0.25">
      <c r="A139" s="150" t="s">
        <v>190</v>
      </c>
      <c r="B139" s="8" t="s">
        <v>0</v>
      </c>
      <c r="C139" s="5" t="s">
        <v>466</v>
      </c>
      <c r="D139" s="164"/>
      <c r="E139" s="145"/>
      <c r="F139" s="145"/>
      <c r="G139" s="3"/>
    </row>
    <row r="140" spans="1:7" x14ac:dyDescent="0.25">
      <c r="A140" s="150" t="s">
        <v>190</v>
      </c>
      <c r="B140" s="8" t="s">
        <v>0</v>
      </c>
      <c r="C140" s="5" t="s">
        <v>467</v>
      </c>
      <c r="D140" s="164"/>
      <c r="E140" s="145"/>
      <c r="F140" s="145"/>
      <c r="G140" s="3"/>
    </row>
    <row r="141" spans="1:7" x14ac:dyDescent="0.25">
      <c r="A141" s="150" t="s">
        <v>190</v>
      </c>
      <c r="B141" s="8" t="s">
        <v>0</v>
      </c>
      <c r="C141" s="5" t="s">
        <v>468</v>
      </c>
      <c r="D141" s="164"/>
      <c r="E141" s="145"/>
      <c r="F141" s="145"/>
      <c r="G141" s="3"/>
    </row>
    <row r="142" spans="1:7" x14ac:dyDescent="0.25">
      <c r="A142" s="150" t="s">
        <v>190</v>
      </c>
      <c r="B142" s="8" t="s">
        <v>0</v>
      </c>
      <c r="C142" s="5" t="s">
        <v>387</v>
      </c>
      <c r="D142" s="164"/>
      <c r="E142" s="145"/>
      <c r="F142" s="145"/>
      <c r="G142" s="49" t="s">
        <v>26</v>
      </c>
    </row>
    <row r="143" spans="1:7" ht="15.75" thickBot="1" x14ac:dyDescent="0.3">
      <c r="A143" s="151" t="s">
        <v>190</v>
      </c>
      <c r="B143" s="69" t="s">
        <v>0</v>
      </c>
      <c r="C143" s="70" t="s">
        <v>469</v>
      </c>
      <c r="D143" s="169"/>
      <c r="E143" s="140"/>
      <c r="F143" s="140"/>
      <c r="G143" s="66"/>
    </row>
    <row r="144" spans="1:7" ht="15.75" x14ac:dyDescent="0.25">
      <c r="A144" s="155" t="s">
        <v>208</v>
      </c>
      <c r="B144" s="89" t="s">
        <v>0</v>
      </c>
      <c r="C144" s="82" t="s">
        <v>73</v>
      </c>
      <c r="D144" s="168">
        <v>4</v>
      </c>
      <c r="E144" s="133" t="s">
        <v>545</v>
      </c>
      <c r="F144" s="177" t="s">
        <v>546</v>
      </c>
      <c r="G144" s="73"/>
    </row>
    <row r="145" spans="1:7" x14ac:dyDescent="0.25">
      <c r="A145" s="150" t="s">
        <v>208</v>
      </c>
      <c r="B145" s="8" t="s">
        <v>0</v>
      </c>
      <c r="C145" s="5" t="s">
        <v>507</v>
      </c>
      <c r="D145" s="164"/>
      <c r="E145" s="145"/>
      <c r="F145" s="145"/>
      <c r="G145" s="49" t="s">
        <v>12</v>
      </c>
    </row>
    <row r="146" spans="1:7" x14ac:dyDescent="0.25">
      <c r="A146" s="150" t="s">
        <v>208</v>
      </c>
      <c r="B146" s="8" t="s">
        <v>0</v>
      </c>
      <c r="C146" s="5" t="s">
        <v>510</v>
      </c>
      <c r="D146" s="164"/>
      <c r="E146" s="145"/>
      <c r="F146" s="145"/>
      <c r="G146" s="49" t="s">
        <v>12</v>
      </c>
    </row>
    <row r="147" spans="1:7" x14ac:dyDescent="0.25">
      <c r="A147" s="150" t="s">
        <v>208</v>
      </c>
      <c r="B147" s="8" t="s">
        <v>0</v>
      </c>
      <c r="C147" s="5" t="s">
        <v>515</v>
      </c>
      <c r="D147" s="164"/>
      <c r="E147" s="145"/>
      <c r="F147" s="145"/>
      <c r="G147" s="49" t="s">
        <v>12</v>
      </c>
    </row>
    <row r="148" spans="1:7" x14ac:dyDescent="0.25">
      <c r="A148" s="150" t="s">
        <v>208</v>
      </c>
      <c r="B148" s="8" t="s">
        <v>0</v>
      </c>
      <c r="C148" s="5" t="s">
        <v>513</v>
      </c>
      <c r="D148" s="164"/>
      <c r="E148" s="145"/>
      <c r="F148" s="145"/>
      <c r="G148" s="49" t="s">
        <v>12</v>
      </c>
    </row>
    <row r="149" spans="1:7" x14ac:dyDescent="0.25">
      <c r="A149" s="150" t="s">
        <v>208</v>
      </c>
      <c r="B149" s="8" t="s">
        <v>0</v>
      </c>
      <c r="C149" s="5" t="s">
        <v>508</v>
      </c>
      <c r="D149" s="164"/>
      <c r="E149" s="145"/>
      <c r="F149" s="145"/>
      <c r="G149" s="49" t="s">
        <v>12</v>
      </c>
    </row>
    <row r="150" spans="1:7" x14ac:dyDescent="0.25">
      <c r="A150" s="150" t="s">
        <v>208</v>
      </c>
      <c r="B150" s="8" t="s">
        <v>0</v>
      </c>
      <c r="C150" s="5" t="s">
        <v>509</v>
      </c>
      <c r="D150" s="164"/>
      <c r="E150" s="145"/>
      <c r="F150" s="145"/>
      <c r="G150" s="49" t="s">
        <v>12</v>
      </c>
    </row>
    <row r="151" spans="1:7" x14ac:dyDescent="0.25">
      <c r="A151" s="150" t="s">
        <v>208</v>
      </c>
      <c r="B151" s="8" t="s">
        <v>0</v>
      </c>
      <c r="C151" s="5" t="s">
        <v>512</v>
      </c>
      <c r="D151" s="164"/>
      <c r="E151" s="145"/>
      <c r="F151" s="145"/>
      <c r="G151" s="49" t="s">
        <v>12</v>
      </c>
    </row>
    <row r="152" spans="1:7" x14ac:dyDescent="0.25">
      <c r="A152" s="150" t="s">
        <v>208</v>
      </c>
      <c r="B152" s="8" t="s">
        <v>0</v>
      </c>
      <c r="C152" s="5" t="s">
        <v>516</v>
      </c>
      <c r="D152" s="164"/>
      <c r="E152" s="145"/>
      <c r="F152" s="145"/>
      <c r="G152" s="49" t="s">
        <v>12</v>
      </c>
    </row>
    <row r="153" spans="1:7" x14ac:dyDescent="0.25">
      <c r="A153" s="150" t="s">
        <v>208</v>
      </c>
      <c r="B153" s="8" t="s">
        <v>0</v>
      </c>
      <c r="C153" s="5" t="s">
        <v>514</v>
      </c>
      <c r="D153" s="164"/>
      <c r="E153" s="145"/>
      <c r="F153" s="145"/>
      <c r="G153" s="49" t="s">
        <v>12</v>
      </c>
    </row>
    <row r="154" spans="1:7" x14ac:dyDescent="0.25">
      <c r="A154" s="150" t="s">
        <v>208</v>
      </c>
      <c r="B154" s="8" t="s">
        <v>0</v>
      </c>
      <c r="C154" s="5" t="s">
        <v>511</v>
      </c>
      <c r="D154" s="164"/>
      <c r="E154" s="145"/>
      <c r="F154" s="145"/>
      <c r="G154" s="49" t="s">
        <v>12</v>
      </c>
    </row>
    <row r="155" spans="1:7" ht="15.75" thickBot="1" x14ac:dyDescent="0.3">
      <c r="A155" s="151" t="s">
        <v>208</v>
      </c>
      <c r="B155" s="69" t="s">
        <v>0</v>
      </c>
      <c r="C155" s="70" t="s">
        <v>506</v>
      </c>
      <c r="D155" s="169"/>
      <c r="E155" s="140"/>
      <c r="F155" s="140"/>
      <c r="G155" s="58" t="s">
        <v>12</v>
      </c>
    </row>
    <row r="156" spans="1:7" ht="15.75" x14ac:dyDescent="0.25">
      <c r="A156" s="155" t="s">
        <v>193</v>
      </c>
      <c r="B156" s="73" t="s">
        <v>0</v>
      </c>
      <c r="C156" s="82" t="s">
        <v>58</v>
      </c>
      <c r="D156" s="168">
        <v>6</v>
      </c>
      <c r="E156" s="133" t="s">
        <v>545</v>
      </c>
      <c r="F156" s="177" t="s">
        <v>546</v>
      </c>
      <c r="G156" s="83"/>
    </row>
    <row r="157" spans="1:7" x14ac:dyDescent="0.25">
      <c r="A157" s="150" t="s">
        <v>193</v>
      </c>
      <c r="B157" s="3" t="s">
        <v>0</v>
      </c>
      <c r="C157" s="5" t="s">
        <v>317</v>
      </c>
      <c r="D157" s="164"/>
      <c r="E157" s="145"/>
      <c r="F157" s="145"/>
      <c r="G157" s="78"/>
    </row>
    <row r="158" spans="1:7" ht="15" customHeight="1" thickBot="1" x14ac:dyDescent="0.3">
      <c r="A158" s="151" t="s">
        <v>193</v>
      </c>
      <c r="B158" s="66" t="s">
        <v>0</v>
      </c>
      <c r="C158" s="70" t="s">
        <v>386</v>
      </c>
      <c r="D158" s="169"/>
      <c r="E158" s="140"/>
      <c r="F158" s="140"/>
      <c r="G158" s="81" t="s">
        <v>24</v>
      </c>
    </row>
    <row r="159" spans="1:7" ht="15.75" x14ac:dyDescent="0.25">
      <c r="A159" s="155" t="s">
        <v>243</v>
      </c>
      <c r="B159" s="73" t="s">
        <v>0</v>
      </c>
      <c r="C159" s="82" t="s">
        <v>128</v>
      </c>
      <c r="D159" s="168">
        <v>6</v>
      </c>
      <c r="E159" s="133" t="s">
        <v>545</v>
      </c>
      <c r="F159" s="177" t="s">
        <v>546</v>
      </c>
      <c r="G159" s="83"/>
    </row>
    <row r="160" spans="1:7" x14ac:dyDescent="0.25">
      <c r="A160" s="150" t="s">
        <v>243</v>
      </c>
      <c r="B160" s="3" t="s">
        <v>0</v>
      </c>
      <c r="C160" s="5" t="s">
        <v>359</v>
      </c>
      <c r="D160" s="164"/>
      <c r="E160" s="145"/>
      <c r="F160" s="145"/>
      <c r="G160" s="3"/>
    </row>
    <row r="161" spans="1:7" x14ac:dyDescent="0.25">
      <c r="A161" s="150" t="s">
        <v>243</v>
      </c>
      <c r="B161" s="3" t="s">
        <v>0</v>
      </c>
      <c r="C161" s="5" t="s">
        <v>356</v>
      </c>
      <c r="D161" s="164"/>
      <c r="E161" s="145"/>
      <c r="F161" s="145"/>
      <c r="G161" s="3"/>
    </row>
    <row r="162" spans="1:7" x14ac:dyDescent="0.25">
      <c r="A162" s="150" t="s">
        <v>243</v>
      </c>
      <c r="B162" s="3" t="s">
        <v>0</v>
      </c>
      <c r="C162" s="5" t="s">
        <v>357</v>
      </c>
      <c r="D162" s="164"/>
      <c r="E162" s="145"/>
      <c r="F162" s="145"/>
      <c r="G162" s="3"/>
    </row>
    <row r="163" spans="1:7" x14ac:dyDescent="0.25">
      <c r="A163" s="150" t="s">
        <v>243</v>
      </c>
      <c r="B163" s="3" t="s">
        <v>0</v>
      </c>
      <c r="C163" s="91" t="s">
        <v>354</v>
      </c>
      <c r="D163" s="164"/>
      <c r="E163" s="145"/>
      <c r="F163" s="145"/>
      <c r="G163" s="3"/>
    </row>
    <row r="164" spans="1:7" x14ac:dyDescent="0.25">
      <c r="A164" s="150" t="s">
        <v>243</v>
      </c>
      <c r="B164" s="3" t="s">
        <v>0</v>
      </c>
      <c r="C164" s="5" t="s">
        <v>358</v>
      </c>
      <c r="D164" s="164"/>
      <c r="E164" s="145"/>
      <c r="F164" s="145"/>
      <c r="G164" s="3"/>
    </row>
    <row r="165" spans="1:7" x14ac:dyDescent="0.25">
      <c r="A165" s="150" t="s">
        <v>243</v>
      </c>
      <c r="B165" s="3" t="s">
        <v>0</v>
      </c>
      <c r="C165" s="5" t="s">
        <v>361</v>
      </c>
      <c r="D165" s="164"/>
      <c r="E165" s="145"/>
      <c r="F165" s="145"/>
      <c r="G165" s="3"/>
    </row>
    <row r="166" spans="1:7" x14ac:dyDescent="0.25">
      <c r="A166" s="150" t="s">
        <v>243</v>
      </c>
      <c r="B166" s="3" t="s">
        <v>0</v>
      </c>
      <c r="C166" s="5" t="s">
        <v>360</v>
      </c>
      <c r="D166" s="164"/>
      <c r="E166" s="145"/>
      <c r="F166" s="145"/>
      <c r="G166" s="3"/>
    </row>
    <row r="167" spans="1:7" x14ac:dyDescent="0.25">
      <c r="A167" s="150" t="s">
        <v>243</v>
      </c>
      <c r="B167" s="3" t="s">
        <v>0</v>
      </c>
      <c r="C167" s="5" t="s">
        <v>355</v>
      </c>
      <c r="D167" s="164"/>
      <c r="E167" s="145"/>
      <c r="F167" s="145"/>
      <c r="G167" s="3"/>
    </row>
    <row r="168" spans="1:7" ht="15.75" thickBot="1" x14ac:dyDescent="0.3">
      <c r="A168" s="151" t="s">
        <v>243</v>
      </c>
      <c r="B168" s="66" t="s">
        <v>0</v>
      </c>
      <c r="C168" s="70" t="s">
        <v>475</v>
      </c>
      <c r="D168" s="169"/>
      <c r="E168" s="140"/>
      <c r="F168" s="140"/>
      <c r="G168" s="66" t="s">
        <v>6</v>
      </c>
    </row>
    <row r="169" spans="1:7" ht="15.75" x14ac:dyDescent="0.25">
      <c r="A169" s="155" t="s">
        <v>204</v>
      </c>
      <c r="B169" s="73" t="s">
        <v>0</v>
      </c>
      <c r="C169" s="82" t="s">
        <v>69</v>
      </c>
      <c r="D169" s="168">
        <v>6</v>
      </c>
      <c r="E169" s="133" t="s">
        <v>545</v>
      </c>
      <c r="F169" s="177" t="s">
        <v>546</v>
      </c>
      <c r="G169" s="83"/>
    </row>
    <row r="170" spans="1:7" ht="14.45" customHeight="1" x14ac:dyDescent="0.25">
      <c r="A170" s="150" t="s">
        <v>204</v>
      </c>
      <c r="B170" s="3" t="s">
        <v>0</v>
      </c>
      <c r="C170" s="5" t="s">
        <v>350</v>
      </c>
      <c r="D170" s="164"/>
      <c r="E170" s="145"/>
      <c r="F170" s="145"/>
      <c r="G170" s="45" t="s">
        <v>10</v>
      </c>
    </row>
    <row r="171" spans="1:7" x14ac:dyDescent="0.25">
      <c r="A171" s="150" t="s">
        <v>204</v>
      </c>
      <c r="B171" s="3" t="s">
        <v>0</v>
      </c>
      <c r="C171" s="5" t="s">
        <v>462</v>
      </c>
      <c r="D171" s="164"/>
      <c r="E171" s="145"/>
      <c r="F171" s="145"/>
      <c r="G171" s="45" t="s">
        <v>23</v>
      </c>
    </row>
    <row r="172" spans="1:7" x14ac:dyDescent="0.25">
      <c r="A172" s="150" t="s">
        <v>204</v>
      </c>
      <c r="B172" s="3" t="s">
        <v>0</v>
      </c>
      <c r="C172" s="5" t="s">
        <v>389</v>
      </c>
      <c r="D172" s="164"/>
      <c r="E172" s="145"/>
      <c r="F172" s="145"/>
      <c r="G172" s="45" t="s">
        <v>12</v>
      </c>
    </row>
    <row r="173" spans="1:7" ht="15.75" thickBot="1" x14ac:dyDescent="0.3">
      <c r="A173" s="151" t="s">
        <v>204</v>
      </c>
      <c r="B173" s="66" t="s">
        <v>0</v>
      </c>
      <c r="C173" s="70" t="s">
        <v>336</v>
      </c>
      <c r="D173" s="169"/>
      <c r="E173" s="140"/>
      <c r="F173" s="140"/>
      <c r="G173" s="46" t="s">
        <v>26</v>
      </c>
    </row>
    <row r="174" spans="1:7" ht="16.5" thickBot="1" x14ac:dyDescent="0.3">
      <c r="A174" s="123" t="s">
        <v>240</v>
      </c>
      <c r="B174" s="93" t="s">
        <v>0</v>
      </c>
      <c r="C174" s="94" t="s">
        <v>123</v>
      </c>
      <c r="D174" s="106">
        <v>6</v>
      </c>
      <c r="E174" s="133" t="s">
        <v>545</v>
      </c>
      <c r="F174" s="177" t="s">
        <v>546</v>
      </c>
      <c r="G174" s="97"/>
    </row>
    <row r="175" spans="1:7" ht="14.45" customHeight="1" x14ac:dyDescent="0.25">
      <c r="A175" s="149" t="s">
        <v>211</v>
      </c>
      <c r="B175" s="62" t="s">
        <v>0</v>
      </c>
      <c r="C175" s="63" t="s">
        <v>76</v>
      </c>
      <c r="D175" s="163">
        <v>6</v>
      </c>
      <c r="E175" s="133" t="s">
        <v>545</v>
      </c>
      <c r="F175" s="177" t="s">
        <v>546</v>
      </c>
      <c r="G175" s="88" t="s">
        <v>4</v>
      </c>
    </row>
    <row r="176" spans="1:7" x14ac:dyDescent="0.25">
      <c r="A176" s="150" t="s">
        <v>211</v>
      </c>
      <c r="B176" s="3" t="s">
        <v>0</v>
      </c>
      <c r="C176" s="5" t="s">
        <v>351</v>
      </c>
      <c r="D176" s="164"/>
      <c r="E176" s="145"/>
      <c r="F176" s="145"/>
      <c r="G176" s="45" t="s">
        <v>4</v>
      </c>
    </row>
    <row r="177" spans="1:7" x14ac:dyDescent="0.25">
      <c r="A177" s="150" t="s">
        <v>211</v>
      </c>
      <c r="B177" s="3" t="s">
        <v>0</v>
      </c>
      <c r="C177" s="5" t="s">
        <v>352</v>
      </c>
      <c r="D177" s="164"/>
      <c r="E177" s="145"/>
      <c r="F177" s="145"/>
      <c r="G177" s="45" t="s">
        <v>4</v>
      </c>
    </row>
    <row r="178" spans="1:7" x14ac:dyDescent="0.25">
      <c r="A178" s="150" t="s">
        <v>211</v>
      </c>
      <c r="B178" s="3" t="s">
        <v>0</v>
      </c>
      <c r="C178" s="5" t="s">
        <v>353</v>
      </c>
      <c r="D178" s="164"/>
      <c r="E178" s="145"/>
      <c r="F178" s="145"/>
      <c r="G178" s="45" t="s">
        <v>4</v>
      </c>
    </row>
    <row r="179" spans="1:7" x14ac:dyDescent="0.25">
      <c r="A179" s="150" t="s">
        <v>211</v>
      </c>
      <c r="B179" s="3" t="s">
        <v>0</v>
      </c>
      <c r="C179" s="5" t="s">
        <v>502</v>
      </c>
      <c r="D179" s="164"/>
      <c r="E179" s="145"/>
      <c r="F179" s="145"/>
      <c r="G179" s="45" t="s">
        <v>3</v>
      </c>
    </row>
    <row r="180" spans="1:7" x14ac:dyDescent="0.25">
      <c r="A180" s="150" t="s">
        <v>211</v>
      </c>
      <c r="B180" s="3" t="s">
        <v>0</v>
      </c>
      <c r="C180" s="5" t="s">
        <v>503</v>
      </c>
      <c r="D180" s="164"/>
      <c r="E180" s="145"/>
      <c r="F180" s="145"/>
      <c r="G180" s="45" t="s">
        <v>3</v>
      </c>
    </row>
    <row r="181" spans="1:7" x14ac:dyDescent="0.25">
      <c r="A181" s="150" t="s">
        <v>211</v>
      </c>
      <c r="B181" s="3" t="s">
        <v>0</v>
      </c>
      <c r="C181" s="5" t="s">
        <v>504</v>
      </c>
      <c r="D181" s="164"/>
      <c r="E181" s="145"/>
      <c r="F181" s="145"/>
      <c r="G181" s="45" t="s">
        <v>3</v>
      </c>
    </row>
    <row r="182" spans="1:7" x14ac:dyDescent="0.25">
      <c r="A182" s="150" t="s">
        <v>211</v>
      </c>
      <c r="B182" s="3" t="s">
        <v>0</v>
      </c>
      <c r="C182" s="5" t="s">
        <v>505</v>
      </c>
      <c r="D182" s="164"/>
      <c r="E182" s="145"/>
      <c r="F182" s="145"/>
      <c r="G182" s="45" t="s">
        <v>3</v>
      </c>
    </row>
    <row r="183" spans="1:7" ht="15.75" thickBot="1" x14ac:dyDescent="0.3">
      <c r="A183" s="154" t="s">
        <v>211</v>
      </c>
      <c r="B183" s="90" t="s">
        <v>0</v>
      </c>
      <c r="C183" s="84" t="s">
        <v>39</v>
      </c>
      <c r="D183" s="165"/>
      <c r="E183" s="136"/>
      <c r="F183" s="136"/>
      <c r="G183" s="47" t="s">
        <v>2</v>
      </c>
    </row>
    <row r="184" spans="1:7" ht="15.75" x14ac:dyDescent="0.25">
      <c r="A184" s="149" t="s">
        <v>212</v>
      </c>
      <c r="B184" s="62" t="s">
        <v>0</v>
      </c>
      <c r="C184" s="63" t="s">
        <v>77</v>
      </c>
      <c r="D184" s="163">
        <v>6</v>
      </c>
      <c r="E184" s="133" t="s">
        <v>545</v>
      </c>
      <c r="F184" s="177" t="s">
        <v>546</v>
      </c>
      <c r="G184" s="60"/>
    </row>
    <row r="185" spans="1:7" ht="15.75" thickBot="1" x14ac:dyDescent="0.3">
      <c r="A185" s="154" t="s">
        <v>212</v>
      </c>
      <c r="B185" s="90" t="s">
        <v>0</v>
      </c>
      <c r="C185" s="84" t="s">
        <v>517</v>
      </c>
      <c r="D185" s="165"/>
      <c r="E185" s="136"/>
      <c r="F185" s="136"/>
      <c r="G185" s="56"/>
    </row>
    <row r="186" spans="1:7" ht="15.75" x14ac:dyDescent="0.25">
      <c r="A186" s="149" t="s">
        <v>222</v>
      </c>
      <c r="B186" s="62" t="s">
        <v>0</v>
      </c>
      <c r="C186" s="63" t="s">
        <v>85</v>
      </c>
      <c r="D186" s="160">
        <v>6</v>
      </c>
      <c r="E186" s="133" t="s">
        <v>545</v>
      </c>
      <c r="F186" s="177" t="s">
        <v>546</v>
      </c>
      <c r="G186" s="60"/>
    </row>
    <row r="187" spans="1:7" x14ac:dyDescent="0.25">
      <c r="A187" s="150" t="s">
        <v>222</v>
      </c>
      <c r="B187" s="8" t="s">
        <v>0</v>
      </c>
      <c r="C187" s="5" t="s">
        <v>453</v>
      </c>
      <c r="D187" s="161"/>
      <c r="E187" s="134"/>
      <c r="F187" s="134"/>
      <c r="G187" s="3"/>
    </row>
    <row r="188" spans="1:7" ht="15.75" thickBot="1" x14ac:dyDescent="0.3">
      <c r="A188" s="154" t="s">
        <v>222</v>
      </c>
      <c r="B188" s="90" t="s">
        <v>0</v>
      </c>
      <c r="C188" s="84" t="s">
        <v>454</v>
      </c>
      <c r="D188" s="162"/>
      <c r="E188" s="146"/>
      <c r="F188" s="146"/>
      <c r="G188" s="56"/>
    </row>
    <row r="189" spans="1:7" ht="15.75" x14ac:dyDescent="0.25">
      <c r="A189" s="149" t="s">
        <v>292</v>
      </c>
      <c r="B189" s="62" t="s">
        <v>0</v>
      </c>
      <c r="C189" s="63" t="s">
        <v>459</v>
      </c>
      <c r="D189" s="163">
        <v>6</v>
      </c>
      <c r="E189" s="133" t="s">
        <v>545</v>
      </c>
      <c r="F189" s="177" t="s">
        <v>546</v>
      </c>
      <c r="G189" s="57" t="s">
        <v>26</v>
      </c>
    </row>
    <row r="190" spans="1:7" x14ac:dyDescent="0.25">
      <c r="A190" s="150" t="s">
        <v>292</v>
      </c>
      <c r="B190" s="8" t="s">
        <v>0</v>
      </c>
      <c r="C190" s="5" t="s">
        <v>460</v>
      </c>
      <c r="D190" s="164"/>
      <c r="E190" s="145"/>
      <c r="F190" s="145"/>
      <c r="G190" s="49" t="s">
        <v>26</v>
      </c>
    </row>
    <row r="191" spans="1:7" ht="15.75" thickBot="1" x14ac:dyDescent="0.3">
      <c r="A191" s="154" t="s">
        <v>292</v>
      </c>
      <c r="B191" s="90" t="s">
        <v>0</v>
      </c>
      <c r="C191" s="84" t="s">
        <v>458</v>
      </c>
      <c r="D191" s="165"/>
      <c r="E191" s="136"/>
      <c r="F191" s="136"/>
      <c r="G191" s="132" t="s">
        <v>3</v>
      </c>
    </row>
    <row r="192" spans="1:7" ht="15.75" x14ac:dyDescent="0.25">
      <c r="A192" s="149" t="s">
        <v>220</v>
      </c>
      <c r="B192" s="60" t="s">
        <v>0</v>
      </c>
      <c r="C192" s="63" t="s">
        <v>83</v>
      </c>
      <c r="D192" s="163">
        <v>6</v>
      </c>
      <c r="E192" s="133" t="s">
        <v>545</v>
      </c>
      <c r="F192" s="177" t="s">
        <v>546</v>
      </c>
      <c r="G192" s="80"/>
    </row>
    <row r="193" spans="1:7" x14ac:dyDescent="0.25">
      <c r="A193" s="150" t="s">
        <v>220</v>
      </c>
      <c r="B193" s="3" t="s">
        <v>0</v>
      </c>
      <c r="C193" s="5" t="s">
        <v>340</v>
      </c>
      <c r="D193" s="164"/>
      <c r="E193" s="145"/>
      <c r="F193" s="145"/>
      <c r="G193" s="3"/>
    </row>
    <row r="194" spans="1:7" x14ac:dyDescent="0.25">
      <c r="A194" s="150" t="s">
        <v>220</v>
      </c>
      <c r="B194" s="3" t="s">
        <v>0</v>
      </c>
      <c r="C194" s="5" t="s">
        <v>534</v>
      </c>
      <c r="D194" s="164"/>
      <c r="E194" s="145"/>
      <c r="F194" s="145"/>
      <c r="G194" s="3"/>
    </row>
    <row r="195" spans="1:7" x14ac:dyDescent="0.25">
      <c r="A195" s="150" t="s">
        <v>220</v>
      </c>
      <c r="B195" s="3" t="s">
        <v>0</v>
      </c>
      <c r="C195" s="5" t="s">
        <v>533</v>
      </c>
      <c r="D195" s="164"/>
      <c r="E195" s="145"/>
      <c r="F195" s="145"/>
      <c r="G195" s="3"/>
    </row>
    <row r="196" spans="1:7" x14ac:dyDescent="0.25">
      <c r="A196" s="150" t="s">
        <v>220</v>
      </c>
      <c r="B196" s="3" t="s">
        <v>0</v>
      </c>
      <c r="C196" s="5" t="s">
        <v>532</v>
      </c>
      <c r="D196" s="164"/>
      <c r="E196" s="145"/>
      <c r="F196" s="145"/>
      <c r="G196" s="3"/>
    </row>
    <row r="197" spans="1:7" ht="15.75" thickBot="1" x14ac:dyDescent="0.3">
      <c r="A197" s="151" t="s">
        <v>220</v>
      </c>
      <c r="B197" s="66" t="s">
        <v>0</v>
      </c>
      <c r="C197" s="70" t="s">
        <v>48</v>
      </c>
      <c r="D197" s="169"/>
      <c r="E197" s="140"/>
      <c r="F197" s="140"/>
      <c r="G197" s="66"/>
    </row>
    <row r="198" spans="1:7" ht="16.5" thickBot="1" x14ac:dyDescent="0.3">
      <c r="A198" s="72" t="s">
        <v>237</v>
      </c>
      <c r="B198" s="89" t="s">
        <v>0</v>
      </c>
      <c r="C198" s="82" t="s">
        <v>115</v>
      </c>
      <c r="D198" s="99">
        <v>6</v>
      </c>
      <c r="E198" s="133" t="s">
        <v>545</v>
      </c>
      <c r="F198" s="177" t="s">
        <v>546</v>
      </c>
      <c r="G198" s="83"/>
    </row>
    <row r="199" spans="1:7" ht="15.75" thickBot="1" x14ac:dyDescent="0.3">
      <c r="A199" s="76" t="s">
        <v>238</v>
      </c>
      <c r="B199" s="90" t="s">
        <v>0</v>
      </c>
      <c r="C199" s="84" t="s">
        <v>116</v>
      </c>
      <c r="D199" s="110">
        <v>6</v>
      </c>
      <c r="E199" s="133" t="s">
        <v>545</v>
      </c>
      <c r="F199" s="144"/>
      <c r="G199" s="85"/>
    </row>
    <row r="200" spans="1:7" x14ac:dyDescent="0.25">
      <c r="A200" s="147" t="s">
        <v>197</v>
      </c>
      <c r="B200" s="60" t="s">
        <v>0</v>
      </c>
      <c r="C200" s="63" t="s">
        <v>62</v>
      </c>
      <c r="D200" s="163">
        <v>12</v>
      </c>
      <c r="E200" s="133" t="s">
        <v>545</v>
      </c>
      <c r="F200" s="139"/>
      <c r="G200" s="80"/>
    </row>
    <row r="201" spans="1:7" x14ac:dyDescent="0.25">
      <c r="A201" s="148" t="s">
        <v>197</v>
      </c>
      <c r="B201" s="3" t="s">
        <v>0</v>
      </c>
      <c r="C201" s="86" t="s">
        <v>318</v>
      </c>
      <c r="D201" s="164"/>
      <c r="E201" s="145"/>
      <c r="F201" s="145"/>
      <c r="G201" s="49" t="s">
        <v>24</v>
      </c>
    </row>
    <row r="202" spans="1:7" x14ac:dyDescent="0.25">
      <c r="A202" s="148" t="s">
        <v>197</v>
      </c>
      <c r="B202" s="3" t="s">
        <v>0</v>
      </c>
      <c r="C202" s="86" t="s">
        <v>319</v>
      </c>
      <c r="D202" s="164"/>
      <c r="E202" s="145"/>
      <c r="F202" s="145"/>
      <c r="G202" s="49" t="s">
        <v>24</v>
      </c>
    </row>
    <row r="203" spans="1:7" x14ac:dyDescent="0.25">
      <c r="A203" s="148" t="s">
        <v>197</v>
      </c>
      <c r="B203" s="3" t="s">
        <v>0</v>
      </c>
      <c r="C203" s="86" t="s">
        <v>320</v>
      </c>
      <c r="D203" s="164"/>
      <c r="E203" s="145"/>
      <c r="F203" s="145"/>
      <c r="G203" s="49" t="s">
        <v>24</v>
      </c>
    </row>
    <row r="204" spans="1:7" x14ac:dyDescent="0.25">
      <c r="A204" s="148" t="s">
        <v>197</v>
      </c>
      <c r="B204" s="3" t="s">
        <v>0</v>
      </c>
      <c r="C204" s="86" t="s">
        <v>321</v>
      </c>
      <c r="D204" s="164"/>
      <c r="E204" s="145"/>
      <c r="F204" s="145"/>
      <c r="G204" s="49" t="s">
        <v>24</v>
      </c>
    </row>
    <row r="205" spans="1:7" ht="15.75" thickBot="1" x14ac:dyDescent="0.3">
      <c r="A205" s="159" t="s">
        <v>197</v>
      </c>
      <c r="B205" s="56" t="s">
        <v>0</v>
      </c>
      <c r="C205" s="105" t="s">
        <v>322</v>
      </c>
      <c r="D205" s="165"/>
      <c r="E205" s="136"/>
      <c r="F205" s="136"/>
      <c r="G205" s="132" t="s">
        <v>24</v>
      </c>
    </row>
    <row r="206" spans="1:7" ht="15.75" x14ac:dyDescent="0.25">
      <c r="A206" s="149" t="s">
        <v>199</v>
      </c>
      <c r="B206" s="60" t="s">
        <v>0</v>
      </c>
      <c r="C206" s="63" t="s">
        <v>64</v>
      </c>
      <c r="D206" s="163">
        <v>12</v>
      </c>
      <c r="E206" s="133" t="s">
        <v>545</v>
      </c>
      <c r="F206" s="177" t="s">
        <v>546</v>
      </c>
      <c r="G206" s="80"/>
    </row>
    <row r="207" spans="1:7" ht="15.75" thickBot="1" x14ac:dyDescent="0.3">
      <c r="A207" s="151" t="s">
        <v>199</v>
      </c>
      <c r="B207" s="66" t="s">
        <v>0</v>
      </c>
      <c r="C207" s="70" t="s">
        <v>346</v>
      </c>
      <c r="D207" s="169"/>
      <c r="E207" s="140"/>
      <c r="F207" s="140"/>
      <c r="G207" s="81"/>
    </row>
    <row r="208" spans="1:7" ht="16.5" thickBot="1" x14ac:dyDescent="0.3">
      <c r="A208" s="72" t="s">
        <v>216</v>
      </c>
      <c r="B208" s="89" t="s">
        <v>0</v>
      </c>
      <c r="C208" s="82" t="s">
        <v>382</v>
      </c>
      <c r="D208" s="99">
        <v>12</v>
      </c>
      <c r="E208" s="133" t="s">
        <v>545</v>
      </c>
      <c r="F208" s="177" t="s">
        <v>546</v>
      </c>
      <c r="G208" s="48" t="s">
        <v>12</v>
      </c>
    </row>
    <row r="209" spans="1:7" ht="15.75" thickBot="1" x14ac:dyDescent="0.3">
      <c r="A209" s="75" t="s">
        <v>217</v>
      </c>
      <c r="B209" s="8" t="s">
        <v>0</v>
      </c>
      <c r="C209" s="5" t="s">
        <v>81</v>
      </c>
      <c r="D209" s="100">
        <v>12</v>
      </c>
      <c r="E209" s="133" t="s">
        <v>545</v>
      </c>
      <c r="F209" s="143"/>
      <c r="G209" s="78" t="s">
        <v>23</v>
      </c>
    </row>
    <row r="210" spans="1:7" ht="15.75" thickBot="1" x14ac:dyDescent="0.3">
      <c r="A210" s="75" t="s">
        <v>218</v>
      </c>
      <c r="B210" s="8" t="s">
        <v>0</v>
      </c>
      <c r="C210" s="5" t="s">
        <v>388</v>
      </c>
      <c r="D210" s="100">
        <v>12</v>
      </c>
      <c r="E210" s="133" t="s">
        <v>545</v>
      </c>
      <c r="F210" s="143"/>
      <c r="G210" s="49" t="s">
        <v>12</v>
      </c>
    </row>
    <row r="211" spans="1:7" x14ac:dyDescent="0.25">
      <c r="A211" s="75" t="s">
        <v>219</v>
      </c>
      <c r="B211" s="8" t="s">
        <v>0</v>
      </c>
      <c r="C211" s="5" t="s">
        <v>82</v>
      </c>
      <c r="D211" s="100">
        <v>12</v>
      </c>
      <c r="E211" s="133" t="s">
        <v>545</v>
      </c>
      <c r="F211" s="143"/>
      <c r="G211" s="78"/>
    </row>
    <row r="212" spans="1:7" ht="15.75" thickBot="1" x14ac:dyDescent="0.3">
      <c r="A212" s="97" t="s">
        <v>29</v>
      </c>
      <c r="B212" s="93" t="s">
        <v>0</v>
      </c>
      <c r="C212" s="94" t="s">
        <v>40</v>
      </c>
      <c r="D212" s="106">
        <v>45</v>
      </c>
      <c r="E212" s="106"/>
      <c r="F212" s="106"/>
      <c r="G212" s="95"/>
    </row>
    <row r="213" spans="1:7" x14ac:dyDescent="0.25">
      <c r="A213" s="3" t="s">
        <v>29</v>
      </c>
      <c r="B213" s="8" t="s">
        <v>0</v>
      </c>
      <c r="C213" s="5" t="s">
        <v>41</v>
      </c>
      <c r="D213" s="138">
        <v>3</v>
      </c>
      <c r="E213" s="133" t="s">
        <v>545</v>
      </c>
      <c r="F213" s="143"/>
      <c r="G213" s="78"/>
    </row>
    <row r="214" spans="1:7" x14ac:dyDescent="0.25">
      <c r="A214" s="3" t="s">
        <v>29</v>
      </c>
      <c r="B214" s="8" t="s">
        <v>0</v>
      </c>
      <c r="C214" s="5" t="s">
        <v>43</v>
      </c>
      <c r="D214" s="100"/>
      <c r="E214" s="143"/>
      <c r="F214" s="143"/>
      <c r="G214" s="3"/>
    </row>
    <row r="215" spans="1:7" x14ac:dyDescent="0.25">
      <c r="A215" s="3" t="s">
        <v>29</v>
      </c>
      <c r="B215" s="8" t="s">
        <v>0</v>
      </c>
      <c r="C215" s="5" t="s">
        <v>44</v>
      </c>
      <c r="D215" s="100"/>
      <c r="E215" s="143"/>
      <c r="F215" s="143"/>
      <c r="G215" s="3"/>
    </row>
    <row r="216" spans="1:7" x14ac:dyDescent="0.25">
      <c r="A216" s="3" t="s">
        <v>29</v>
      </c>
      <c r="B216" s="8" t="s">
        <v>0</v>
      </c>
      <c r="C216" s="5" t="s">
        <v>45</v>
      </c>
      <c r="D216" s="100"/>
      <c r="E216" s="143"/>
      <c r="F216" s="143"/>
      <c r="G216" s="3"/>
    </row>
    <row r="217" spans="1:7" x14ac:dyDescent="0.25">
      <c r="A217" s="3" t="s">
        <v>29</v>
      </c>
      <c r="B217" s="8" t="s">
        <v>0</v>
      </c>
      <c r="C217" s="5" t="s">
        <v>46</v>
      </c>
      <c r="D217" s="100"/>
      <c r="E217" s="143"/>
      <c r="F217" s="143"/>
      <c r="G217" s="3"/>
    </row>
    <row r="218" spans="1:7" ht="15.75" thickBot="1" x14ac:dyDescent="0.3">
      <c r="A218" s="56" t="s">
        <v>29</v>
      </c>
      <c r="B218" s="90" t="s">
        <v>0</v>
      </c>
      <c r="C218" s="84" t="s">
        <v>47</v>
      </c>
      <c r="D218" s="110"/>
      <c r="E218" s="144"/>
      <c r="F218" s="144"/>
      <c r="G218" s="56"/>
    </row>
    <row r="219" spans="1:7" ht="16.5" thickBot="1" x14ac:dyDescent="0.3">
      <c r="A219" s="149" t="s">
        <v>447</v>
      </c>
      <c r="B219" s="62" t="s">
        <v>0</v>
      </c>
      <c r="C219" s="63" t="s">
        <v>51</v>
      </c>
      <c r="D219" s="163">
        <v>12</v>
      </c>
      <c r="E219" s="133" t="s">
        <v>545</v>
      </c>
      <c r="F219" s="177" t="s">
        <v>546</v>
      </c>
      <c r="G219" s="80"/>
    </row>
    <row r="220" spans="1:7" ht="15.75" thickBot="1" x14ac:dyDescent="0.3">
      <c r="A220" s="149" t="s">
        <v>447</v>
      </c>
      <c r="B220" s="8" t="s">
        <v>0</v>
      </c>
      <c r="C220" s="5" t="s">
        <v>451</v>
      </c>
      <c r="D220" s="164"/>
      <c r="E220" s="145"/>
      <c r="F220" s="145"/>
      <c r="G220" s="78"/>
    </row>
    <row r="221" spans="1:7" ht="15.75" thickBot="1" x14ac:dyDescent="0.3">
      <c r="A221" s="149" t="s">
        <v>447</v>
      </c>
      <c r="B221" s="69" t="s">
        <v>0</v>
      </c>
      <c r="C221" s="70" t="s">
        <v>452</v>
      </c>
      <c r="D221" s="169"/>
      <c r="E221" s="140"/>
      <c r="F221" s="140"/>
      <c r="G221" s="81"/>
    </row>
    <row r="222" spans="1:7" ht="15.75" x14ac:dyDescent="0.25">
      <c r="A222" s="72" t="s">
        <v>187</v>
      </c>
      <c r="B222" s="89" t="s">
        <v>0</v>
      </c>
      <c r="C222" s="82" t="s">
        <v>52</v>
      </c>
      <c r="D222" s="99">
        <v>300</v>
      </c>
      <c r="E222" s="99"/>
      <c r="F222" s="177" t="s">
        <v>546</v>
      </c>
      <c r="G222" s="83"/>
    </row>
    <row r="223" spans="1:7" ht="15.75" x14ac:dyDescent="0.25">
      <c r="A223" s="154" t="s">
        <v>188</v>
      </c>
      <c r="B223" s="8" t="s">
        <v>0</v>
      </c>
      <c r="C223" s="5" t="s">
        <v>53</v>
      </c>
      <c r="D223" s="165">
        <v>4</v>
      </c>
      <c r="E223" s="136"/>
      <c r="F223" s="177" t="s">
        <v>546</v>
      </c>
      <c r="G223" s="78"/>
    </row>
    <row r="224" spans="1:7" x14ac:dyDescent="0.25">
      <c r="A224" s="154" t="s">
        <v>188</v>
      </c>
      <c r="B224" s="8" t="s">
        <v>0</v>
      </c>
      <c r="C224" s="5" t="s">
        <v>522</v>
      </c>
      <c r="D224" s="173"/>
      <c r="E224" s="137"/>
      <c r="F224" s="137"/>
      <c r="G224" s="78"/>
    </row>
    <row r="225" spans="1:7" x14ac:dyDescent="0.25">
      <c r="A225" s="154" t="s">
        <v>188</v>
      </c>
      <c r="B225" s="8" t="s">
        <v>0</v>
      </c>
      <c r="C225" s="5" t="s">
        <v>521</v>
      </c>
      <c r="D225" s="173"/>
      <c r="E225" s="137"/>
      <c r="F225" s="137"/>
      <c r="G225" s="78"/>
    </row>
    <row r="226" spans="1:7" x14ac:dyDescent="0.25">
      <c r="A226" s="154" t="s">
        <v>188</v>
      </c>
      <c r="B226" s="8" t="s">
        <v>0</v>
      </c>
      <c r="C226" s="5" t="s">
        <v>523</v>
      </c>
      <c r="D226" s="173"/>
      <c r="E226" s="137"/>
      <c r="F226" s="137"/>
      <c r="G226" s="78"/>
    </row>
    <row r="227" spans="1:7" x14ac:dyDescent="0.25">
      <c r="A227" s="154" t="s">
        <v>188</v>
      </c>
      <c r="B227" s="8" t="s">
        <v>0</v>
      </c>
      <c r="C227" s="5" t="s">
        <v>524</v>
      </c>
      <c r="D227" s="173"/>
      <c r="E227" s="137"/>
      <c r="F227" s="137"/>
      <c r="G227" s="78"/>
    </row>
    <row r="228" spans="1:7" x14ac:dyDescent="0.25">
      <c r="A228" s="154" t="s">
        <v>188</v>
      </c>
      <c r="B228" s="8" t="s">
        <v>0</v>
      </c>
      <c r="C228" s="5" t="s">
        <v>525</v>
      </c>
      <c r="D228" s="173"/>
      <c r="E228" s="137"/>
      <c r="F228" s="137"/>
      <c r="G228" s="78"/>
    </row>
    <row r="229" spans="1:7" x14ac:dyDescent="0.25">
      <c r="A229" s="154" t="s">
        <v>188</v>
      </c>
      <c r="B229" s="8" t="s">
        <v>0</v>
      </c>
      <c r="C229" s="5" t="s">
        <v>526</v>
      </c>
      <c r="D229" s="173"/>
      <c r="E229" s="137"/>
      <c r="F229" s="137"/>
      <c r="G229" s="78"/>
    </row>
    <row r="230" spans="1:7" x14ac:dyDescent="0.25">
      <c r="A230" s="154" t="s">
        <v>188</v>
      </c>
      <c r="B230" s="8" t="s">
        <v>0</v>
      </c>
      <c r="C230" s="5" t="s">
        <v>527</v>
      </c>
      <c r="D230" s="173"/>
      <c r="E230" s="137"/>
      <c r="F230" s="137"/>
      <c r="G230" s="78"/>
    </row>
    <row r="231" spans="1:7" x14ac:dyDescent="0.25">
      <c r="A231" s="154" t="s">
        <v>188</v>
      </c>
      <c r="B231" s="8" t="s">
        <v>0</v>
      </c>
      <c r="C231" s="5" t="s">
        <v>528</v>
      </c>
      <c r="D231" s="168"/>
      <c r="E231" s="138"/>
      <c r="F231" s="138"/>
      <c r="G231" s="78"/>
    </row>
    <row r="232" spans="1:7" x14ac:dyDescent="0.25">
      <c r="A232" s="75" t="s">
        <v>29</v>
      </c>
      <c r="B232" s="8" t="s">
        <v>0</v>
      </c>
      <c r="C232" s="5" t="s">
        <v>54</v>
      </c>
      <c r="D232" s="100"/>
      <c r="E232" s="143"/>
      <c r="F232" s="143"/>
      <c r="G232" s="3"/>
    </row>
    <row r="233" spans="1:7" x14ac:dyDescent="0.25">
      <c r="A233" s="76" t="s">
        <v>189</v>
      </c>
      <c r="B233" s="90" t="s">
        <v>0</v>
      </c>
      <c r="C233" s="84" t="s">
        <v>298</v>
      </c>
      <c r="D233" s="110"/>
      <c r="E233" s="144"/>
      <c r="F233" s="144"/>
      <c r="G233" s="56"/>
    </row>
    <row r="234" spans="1:7" ht="15.75" x14ac:dyDescent="0.25">
      <c r="A234" s="72" t="s">
        <v>191</v>
      </c>
      <c r="B234" s="89" t="s">
        <v>0</v>
      </c>
      <c r="C234" s="82" t="s">
        <v>56</v>
      </c>
      <c r="D234" s="99">
        <v>120</v>
      </c>
      <c r="E234" s="99"/>
      <c r="F234" s="177" t="s">
        <v>546</v>
      </c>
      <c r="G234" s="73"/>
    </row>
    <row r="235" spans="1:7" ht="16.5" thickBot="1" x14ac:dyDescent="0.3">
      <c r="A235" s="75" t="s">
        <v>192</v>
      </c>
      <c r="B235" s="8" t="s">
        <v>0</v>
      </c>
      <c r="C235" s="5" t="s">
        <v>57</v>
      </c>
      <c r="D235" s="100">
        <v>300</v>
      </c>
      <c r="E235" s="143"/>
      <c r="F235" s="177" t="s">
        <v>546</v>
      </c>
      <c r="G235" s="3"/>
    </row>
    <row r="236" spans="1:7" ht="16.5" thickBot="1" x14ac:dyDescent="0.3">
      <c r="A236" s="75" t="s">
        <v>194</v>
      </c>
      <c r="B236" s="8" t="s">
        <v>0</v>
      </c>
      <c r="C236" s="5" t="s">
        <v>59</v>
      </c>
      <c r="D236" s="100">
        <v>6</v>
      </c>
      <c r="E236" s="133" t="s">
        <v>545</v>
      </c>
      <c r="F236" s="177" t="s">
        <v>546</v>
      </c>
      <c r="G236" s="3"/>
    </row>
    <row r="237" spans="1:7" ht="16.5" thickBot="1" x14ac:dyDescent="0.3">
      <c r="A237" s="75" t="s">
        <v>195</v>
      </c>
      <c r="B237" s="8" t="s">
        <v>0</v>
      </c>
      <c r="C237" s="5" t="s">
        <v>60</v>
      </c>
      <c r="D237" s="100">
        <v>6</v>
      </c>
      <c r="E237" s="133" t="s">
        <v>545</v>
      </c>
      <c r="F237" s="177" t="s">
        <v>546</v>
      </c>
      <c r="G237" s="3"/>
    </row>
    <row r="238" spans="1:7" ht="16.5" thickBot="1" x14ac:dyDescent="0.3">
      <c r="A238" s="65" t="s">
        <v>196</v>
      </c>
      <c r="B238" s="69" t="s">
        <v>0</v>
      </c>
      <c r="C238" s="70" t="s">
        <v>61</v>
      </c>
      <c r="D238" s="109">
        <v>6</v>
      </c>
      <c r="E238" s="133" t="s">
        <v>545</v>
      </c>
      <c r="F238" s="177" t="s">
        <v>546</v>
      </c>
      <c r="G238" s="66"/>
    </row>
    <row r="239" spans="1:7" ht="16.5" thickBot="1" x14ac:dyDescent="0.3">
      <c r="A239" s="77" t="s">
        <v>202</v>
      </c>
      <c r="B239" s="103" t="s">
        <v>0</v>
      </c>
      <c r="C239" s="104" t="s">
        <v>67</v>
      </c>
      <c r="D239" s="107">
        <v>6</v>
      </c>
      <c r="E239" s="133" t="s">
        <v>545</v>
      </c>
      <c r="F239" s="177" t="s">
        <v>546</v>
      </c>
      <c r="G239" s="96"/>
    </row>
    <row r="240" spans="1:7" ht="16.5" thickBot="1" x14ac:dyDescent="0.3">
      <c r="A240" s="72" t="s">
        <v>213</v>
      </c>
      <c r="B240" s="89" t="s">
        <v>0</v>
      </c>
      <c r="C240" s="82" t="s">
        <v>78</v>
      </c>
      <c r="D240" s="122">
        <v>6</v>
      </c>
      <c r="E240" s="133" t="s">
        <v>545</v>
      </c>
      <c r="F240" s="177" t="s">
        <v>546</v>
      </c>
      <c r="G240" s="83"/>
    </row>
    <row r="241" spans="1:7" ht="16.5" thickBot="1" x14ac:dyDescent="0.3">
      <c r="A241" s="75" t="s">
        <v>214</v>
      </c>
      <c r="B241" s="8" t="s">
        <v>0</v>
      </c>
      <c r="C241" s="5" t="s">
        <v>79</v>
      </c>
      <c r="D241" s="100">
        <v>6</v>
      </c>
      <c r="E241" s="133" t="s">
        <v>545</v>
      </c>
      <c r="F241" s="177" t="s">
        <v>546</v>
      </c>
      <c r="G241" s="3"/>
    </row>
    <row r="242" spans="1:7" ht="16.5" thickBot="1" x14ac:dyDescent="0.3">
      <c r="A242" s="76" t="s">
        <v>215</v>
      </c>
      <c r="B242" s="90" t="s">
        <v>0</v>
      </c>
      <c r="C242" s="84" t="s">
        <v>80</v>
      </c>
      <c r="D242" s="110">
        <v>6</v>
      </c>
      <c r="E242" s="133" t="s">
        <v>545</v>
      </c>
      <c r="F242" s="177" t="s">
        <v>546</v>
      </c>
      <c r="G242" s="56"/>
    </row>
    <row r="243" spans="1:7" ht="16.5" thickBot="1" x14ac:dyDescent="0.3">
      <c r="A243" s="149" t="s">
        <v>221</v>
      </c>
      <c r="B243" s="62" t="s">
        <v>0</v>
      </c>
      <c r="C243" s="63" t="s">
        <v>84</v>
      </c>
      <c r="D243" s="163">
        <v>12</v>
      </c>
      <c r="E243" s="133" t="s">
        <v>545</v>
      </c>
      <c r="F243" s="177" t="s">
        <v>546</v>
      </c>
      <c r="G243" s="60"/>
    </row>
    <row r="244" spans="1:7" ht="15.75" thickBot="1" x14ac:dyDescent="0.3">
      <c r="A244" s="149" t="s">
        <v>221</v>
      </c>
      <c r="B244" s="69" t="s">
        <v>0</v>
      </c>
      <c r="C244" s="70" t="s">
        <v>520</v>
      </c>
      <c r="D244" s="169"/>
      <c r="E244" s="140"/>
      <c r="F244" s="140"/>
      <c r="G244" s="58" t="s">
        <v>6</v>
      </c>
    </row>
    <row r="245" spans="1:7" ht="16.5" thickBot="1" x14ac:dyDescent="0.3">
      <c r="A245" s="97" t="s">
        <v>223</v>
      </c>
      <c r="B245" s="93" t="s">
        <v>0</v>
      </c>
      <c r="C245" s="94" t="s">
        <v>86</v>
      </c>
      <c r="D245" s="122">
        <v>6</v>
      </c>
      <c r="E245" s="133" t="s">
        <v>545</v>
      </c>
      <c r="F245" s="177" t="s">
        <v>546</v>
      </c>
      <c r="G245" s="97"/>
    </row>
    <row r="246" spans="1:7" ht="16.5" thickBot="1" x14ac:dyDescent="0.3">
      <c r="A246" s="59" t="s">
        <v>226</v>
      </c>
      <c r="B246" s="62" t="s">
        <v>0</v>
      </c>
      <c r="C246" s="63" t="s">
        <v>438</v>
      </c>
      <c r="D246" s="108">
        <v>12</v>
      </c>
      <c r="E246" s="133" t="s">
        <v>545</v>
      </c>
      <c r="F246" s="177" t="s">
        <v>546</v>
      </c>
      <c r="G246" s="57" t="s">
        <v>4</v>
      </c>
    </row>
    <row r="247" spans="1:7" ht="16.5" thickBot="1" x14ac:dyDescent="0.3">
      <c r="A247" s="75" t="s">
        <v>227</v>
      </c>
      <c r="B247" s="8" t="s">
        <v>0</v>
      </c>
      <c r="C247" s="5" t="s">
        <v>439</v>
      </c>
      <c r="D247" s="100">
        <v>12</v>
      </c>
      <c r="E247" s="133" t="s">
        <v>545</v>
      </c>
      <c r="F247" s="177" t="s">
        <v>546</v>
      </c>
      <c r="G247" s="49" t="s">
        <v>4</v>
      </c>
    </row>
    <row r="248" spans="1:7" ht="16.5" thickBot="1" x14ac:dyDescent="0.3">
      <c r="A248" s="75" t="s">
        <v>228</v>
      </c>
      <c r="B248" s="8" t="s">
        <v>0</v>
      </c>
      <c r="C248" s="5" t="s">
        <v>440</v>
      </c>
      <c r="D248" s="100">
        <v>12</v>
      </c>
      <c r="E248" s="133" t="s">
        <v>545</v>
      </c>
      <c r="F248" s="177" t="s">
        <v>546</v>
      </c>
      <c r="G248" s="49" t="s">
        <v>4</v>
      </c>
    </row>
    <row r="249" spans="1:7" ht="16.5" thickBot="1" x14ac:dyDescent="0.3">
      <c r="A249" s="75" t="s">
        <v>229</v>
      </c>
      <c r="B249" s="8" t="s">
        <v>0</v>
      </c>
      <c r="C249" s="5" t="s">
        <v>441</v>
      </c>
      <c r="D249" s="100">
        <v>12</v>
      </c>
      <c r="E249" s="133" t="s">
        <v>545</v>
      </c>
      <c r="F249" s="177" t="s">
        <v>546</v>
      </c>
      <c r="G249" s="49" t="s">
        <v>4</v>
      </c>
    </row>
    <row r="250" spans="1:7" ht="16.5" thickBot="1" x14ac:dyDescent="0.3">
      <c r="A250" s="75" t="s">
        <v>230</v>
      </c>
      <c r="B250" s="8" t="s">
        <v>0</v>
      </c>
      <c r="C250" s="5" t="s">
        <v>442</v>
      </c>
      <c r="D250" s="100">
        <v>12</v>
      </c>
      <c r="E250" s="133" t="s">
        <v>545</v>
      </c>
      <c r="F250" s="177" t="s">
        <v>546</v>
      </c>
      <c r="G250" s="49" t="s">
        <v>4</v>
      </c>
    </row>
    <row r="251" spans="1:7" ht="16.5" thickBot="1" x14ac:dyDescent="0.3">
      <c r="A251" s="75" t="s">
        <v>231</v>
      </c>
      <c r="B251" s="8" t="s">
        <v>0</v>
      </c>
      <c r="C251" s="5" t="s">
        <v>443</v>
      </c>
      <c r="D251" s="100">
        <v>12</v>
      </c>
      <c r="E251" s="133" t="s">
        <v>545</v>
      </c>
      <c r="F251" s="177" t="s">
        <v>546</v>
      </c>
      <c r="G251" s="49" t="s">
        <v>2</v>
      </c>
    </row>
    <row r="252" spans="1:7" ht="16.5" thickBot="1" x14ac:dyDescent="0.3">
      <c r="A252" s="65" t="s">
        <v>232</v>
      </c>
      <c r="B252" s="69" t="s">
        <v>0</v>
      </c>
      <c r="C252" s="70" t="s">
        <v>444</v>
      </c>
      <c r="D252" s="109">
        <v>12</v>
      </c>
      <c r="E252" s="133" t="s">
        <v>545</v>
      </c>
      <c r="F252" s="177" t="s">
        <v>546</v>
      </c>
      <c r="G252" s="58" t="s">
        <v>2</v>
      </c>
    </row>
    <row r="253" spans="1:7" x14ac:dyDescent="0.25">
      <c r="A253" s="73" t="s">
        <v>29</v>
      </c>
      <c r="B253" s="89"/>
      <c r="C253" s="82" t="s">
        <v>90</v>
      </c>
      <c r="D253" s="99"/>
      <c r="E253" s="99"/>
      <c r="F253" s="99"/>
      <c r="G253" s="73"/>
    </row>
    <row r="254" spans="1:7" x14ac:dyDescent="0.25">
      <c r="A254" s="3" t="s">
        <v>29</v>
      </c>
      <c r="B254" s="8"/>
      <c r="C254" s="5" t="s">
        <v>91</v>
      </c>
      <c r="D254" s="100"/>
      <c r="E254" s="143"/>
      <c r="F254" s="143"/>
      <c r="G254" s="3"/>
    </row>
    <row r="255" spans="1:7" x14ac:dyDescent="0.25">
      <c r="A255" s="3" t="s">
        <v>29</v>
      </c>
      <c r="B255" s="8"/>
      <c r="C255" s="5" t="s">
        <v>92</v>
      </c>
      <c r="D255" s="100"/>
      <c r="E255" s="143"/>
      <c r="F255" s="143"/>
      <c r="G255" s="3"/>
    </row>
    <row r="256" spans="1:7" x14ac:dyDescent="0.25">
      <c r="A256" s="3" t="s">
        <v>29</v>
      </c>
      <c r="B256" s="8"/>
      <c r="C256" s="5" t="s">
        <v>93</v>
      </c>
      <c r="D256" s="100"/>
      <c r="E256" s="143"/>
      <c r="F256" s="143"/>
      <c r="G256" s="3"/>
    </row>
    <row r="257" spans="1:7" x14ac:dyDescent="0.25">
      <c r="A257" s="3" t="s">
        <v>29</v>
      </c>
      <c r="B257" s="8"/>
      <c r="C257" s="5" t="s">
        <v>94</v>
      </c>
      <c r="D257" s="100"/>
      <c r="E257" s="143"/>
      <c r="F257" s="143"/>
      <c r="G257" s="3"/>
    </row>
    <row r="258" spans="1:7" x14ac:dyDescent="0.25">
      <c r="A258" s="3" t="s">
        <v>29</v>
      </c>
      <c r="B258" s="8"/>
      <c r="C258" s="5" t="s">
        <v>95</v>
      </c>
      <c r="D258" s="100"/>
      <c r="E258" s="143"/>
      <c r="F258" s="143"/>
      <c r="G258" s="3"/>
    </row>
    <row r="259" spans="1:7" x14ac:dyDescent="0.25">
      <c r="A259" s="3" t="s">
        <v>29</v>
      </c>
      <c r="B259" s="8"/>
      <c r="C259" s="5" t="s">
        <v>96</v>
      </c>
      <c r="D259" s="100"/>
      <c r="E259" s="143"/>
      <c r="F259" s="143"/>
      <c r="G259" s="3"/>
    </row>
    <row r="260" spans="1:7" x14ac:dyDescent="0.25">
      <c r="A260" s="3" t="s">
        <v>29</v>
      </c>
      <c r="B260" s="8"/>
      <c r="C260" s="5" t="s">
        <v>97</v>
      </c>
      <c r="D260" s="100"/>
      <c r="E260" s="143"/>
      <c r="F260" s="143"/>
      <c r="G260" s="3"/>
    </row>
    <row r="261" spans="1:7" x14ac:dyDescent="0.25">
      <c r="A261" s="3" t="s">
        <v>29</v>
      </c>
      <c r="B261" s="8"/>
      <c r="C261" s="5" t="s">
        <v>98</v>
      </c>
      <c r="D261" s="100"/>
      <c r="E261" s="143"/>
      <c r="F261" s="143"/>
      <c r="G261" s="3"/>
    </row>
    <row r="262" spans="1:7" ht="16.5" thickBot="1" x14ac:dyDescent="0.3">
      <c r="A262" s="3" t="s">
        <v>233</v>
      </c>
      <c r="B262" s="8" t="s">
        <v>0</v>
      </c>
      <c r="C262" s="5" t="s">
        <v>299</v>
      </c>
      <c r="D262" s="100">
        <v>60</v>
      </c>
      <c r="E262" s="143"/>
      <c r="F262" s="177" t="s">
        <v>546</v>
      </c>
      <c r="G262" s="3" t="s">
        <v>24</v>
      </c>
    </row>
    <row r="263" spans="1:7" ht="15.75" x14ac:dyDescent="0.25">
      <c r="A263" s="3" t="s">
        <v>234</v>
      </c>
      <c r="B263" s="8" t="s">
        <v>0</v>
      </c>
      <c r="C263" s="5" t="s">
        <v>99</v>
      </c>
      <c r="D263" s="119">
        <v>6</v>
      </c>
      <c r="E263" s="133" t="s">
        <v>545</v>
      </c>
      <c r="F263" s="177" t="s">
        <v>546</v>
      </c>
      <c r="G263" s="3"/>
    </row>
    <row r="264" spans="1:7" x14ac:dyDescent="0.25">
      <c r="A264" s="3" t="s">
        <v>29</v>
      </c>
      <c r="B264" s="8"/>
      <c r="C264" s="5" t="s">
        <v>100</v>
      </c>
      <c r="D264" s="100"/>
      <c r="E264" s="143"/>
      <c r="F264" s="143"/>
      <c r="G264" s="3"/>
    </row>
    <row r="265" spans="1:7" x14ac:dyDescent="0.25">
      <c r="A265" s="3" t="s">
        <v>29</v>
      </c>
      <c r="B265" s="8"/>
      <c r="C265" s="5" t="s">
        <v>101</v>
      </c>
      <c r="D265" s="100"/>
      <c r="E265" s="143"/>
      <c r="F265" s="143"/>
      <c r="G265" s="3"/>
    </row>
    <row r="266" spans="1:7" x14ac:dyDescent="0.25">
      <c r="A266" s="3" t="s">
        <v>29</v>
      </c>
      <c r="B266" s="8"/>
      <c r="C266" s="5" t="s">
        <v>102</v>
      </c>
      <c r="D266" s="100"/>
      <c r="E266" s="143"/>
      <c r="F266" s="143"/>
      <c r="G266" s="3"/>
    </row>
    <row r="267" spans="1:7" x14ac:dyDescent="0.25">
      <c r="A267" s="3" t="s">
        <v>29</v>
      </c>
      <c r="B267" s="8"/>
      <c r="C267" s="5" t="s">
        <v>103</v>
      </c>
      <c r="D267" s="100"/>
      <c r="E267" s="143"/>
      <c r="F267" s="143"/>
      <c r="G267" s="3"/>
    </row>
    <row r="268" spans="1:7" x14ac:dyDescent="0.25">
      <c r="A268" s="3" t="s">
        <v>29</v>
      </c>
      <c r="B268" s="8"/>
      <c r="C268" s="5" t="s">
        <v>104</v>
      </c>
      <c r="D268" s="100"/>
      <c r="E268" s="143"/>
      <c r="F268" s="143"/>
      <c r="G268" s="3"/>
    </row>
    <row r="269" spans="1:7" x14ac:dyDescent="0.25">
      <c r="A269" s="3" t="s">
        <v>29</v>
      </c>
      <c r="B269" s="8"/>
      <c r="C269" s="5" t="s">
        <v>105</v>
      </c>
      <c r="D269" s="100"/>
      <c r="E269" s="143"/>
      <c r="F269" s="143"/>
      <c r="G269" s="3"/>
    </row>
    <row r="270" spans="1:7" x14ac:dyDescent="0.25">
      <c r="A270" s="3" t="s">
        <v>29</v>
      </c>
      <c r="B270" s="8"/>
      <c r="C270" s="5" t="s">
        <v>106</v>
      </c>
      <c r="D270" s="100"/>
      <c r="E270" s="143"/>
      <c r="F270" s="143"/>
      <c r="G270" s="3"/>
    </row>
    <row r="271" spans="1:7" x14ac:dyDescent="0.25">
      <c r="A271" s="3" t="s">
        <v>29</v>
      </c>
      <c r="B271" s="8"/>
      <c r="C271" s="5" t="s">
        <v>107</v>
      </c>
      <c r="D271" s="100"/>
      <c r="E271" s="143"/>
      <c r="F271" s="143"/>
      <c r="G271" s="3"/>
    </row>
    <row r="272" spans="1:7" ht="15.75" thickBot="1" x14ac:dyDescent="0.3">
      <c r="A272" s="3" t="s">
        <v>29</v>
      </c>
      <c r="B272" s="8"/>
      <c r="C272" s="5" t="s">
        <v>108</v>
      </c>
      <c r="D272" s="100"/>
      <c r="E272" s="143"/>
      <c r="F272" s="143"/>
      <c r="G272" s="3"/>
    </row>
    <row r="273" spans="1:7" ht="16.5" thickBot="1" x14ac:dyDescent="0.3">
      <c r="A273" s="56" t="s">
        <v>235</v>
      </c>
      <c r="B273" s="90"/>
      <c r="C273" s="84" t="s">
        <v>109</v>
      </c>
      <c r="D273" s="120">
        <v>6</v>
      </c>
      <c r="E273" s="133" t="s">
        <v>545</v>
      </c>
      <c r="F273" s="177" t="s">
        <v>546</v>
      </c>
      <c r="G273" s="56"/>
    </row>
    <row r="274" spans="1:7" x14ac:dyDescent="0.25">
      <c r="A274" s="59" t="s">
        <v>29</v>
      </c>
      <c r="B274" s="62"/>
      <c r="C274" s="63" t="s">
        <v>111</v>
      </c>
      <c r="D274" s="108"/>
      <c r="E274" s="142"/>
      <c r="F274" s="142"/>
      <c r="G274" s="60"/>
    </row>
    <row r="275" spans="1:7" x14ac:dyDescent="0.25">
      <c r="A275" s="75" t="s">
        <v>29</v>
      </c>
      <c r="B275" s="8"/>
      <c r="C275" s="5" t="s">
        <v>112</v>
      </c>
      <c r="D275" s="100"/>
      <c r="E275" s="143"/>
      <c r="F275" s="143"/>
      <c r="G275" s="3"/>
    </row>
    <row r="276" spans="1:7" x14ac:dyDescent="0.25">
      <c r="A276" s="75" t="s">
        <v>29</v>
      </c>
      <c r="B276" s="8"/>
      <c r="C276" s="5" t="s">
        <v>113</v>
      </c>
      <c r="D276" s="100"/>
      <c r="E276" s="143"/>
      <c r="F276" s="143"/>
      <c r="G276" s="3"/>
    </row>
    <row r="277" spans="1:7" ht="15.75" thickBot="1" x14ac:dyDescent="0.3">
      <c r="A277" s="65" t="s">
        <v>29</v>
      </c>
      <c r="B277" s="69"/>
      <c r="C277" s="70" t="s">
        <v>114</v>
      </c>
      <c r="D277" s="109"/>
      <c r="E277" s="109"/>
      <c r="F277" s="109"/>
      <c r="G277" s="66"/>
    </row>
    <row r="278" spans="1:7" x14ac:dyDescent="0.25">
      <c r="A278" s="72" t="s">
        <v>29</v>
      </c>
      <c r="B278" s="89"/>
      <c r="C278" s="82" t="s">
        <v>118</v>
      </c>
      <c r="D278" s="99"/>
      <c r="E278" s="99"/>
      <c r="F278" s="99"/>
      <c r="G278" s="73"/>
    </row>
    <row r="279" spans="1:7" x14ac:dyDescent="0.25">
      <c r="A279" s="75" t="s">
        <v>29</v>
      </c>
      <c r="B279" s="8"/>
      <c r="C279" s="5" t="s">
        <v>119</v>
      </c>
      <c r="D279" s="100"/>
      <c r="E279" s="143"/>
      <c r="F279" s="143"/>
      <c r="G279" s="3"/>
    </row>
    <row r="280" spans="1:7" x14ac:dyDescent="0.25">
      <c r="A280" s="75" t="s">
        <v>29</v>
      </c>
      <c r="B280" s="8"/>
      <c r="C280" s="5" t="s">
        <v>120</v>
      </c>
      <c r="D280" s="100"/>
      <c r="E280" s="143"/>
      <c r="F280" s="143"/>
      <c r="G280" s="3"/>
    </row>
    <row r="281" spans="1:7" x14ac:dyDescent="0.25">
      <c r="A281" s="75" t="s">
        <v>29</v>
      </c>
      <c r="B281" s="8"/>
      <c r="C281" s="5" t="s">
        <v>121</v>
      </c>
      <c r="D281" s="100"/>
      <c r="E281" s="143"/>
      <c r="F281" s="143"/>
      <c r="G281" s="3"/>
    </row>
    <row r="282" spans="1:7" ht="15.75" thickBot="1" x14ac:dyDescent="0.3">
      <c r="A282" s="76" t="s">
        <v>29</v>
      </c>
      <c r="B282" s="90"/>
      <c r="C282" s="84" t="s">
        <v>122</v>
      </c>
      <c r="D282" s="110"/>
      <c r="E282" s="144"/>
      <c r="F282" s="144"/>
      <c r="G282" s="56"/>
    </row>
    <row r="283" spans="1:7" ht="16.5" thickBot="1" x14ac:dyDescent="0.3">
      <c r="A283" s="153" t="s">
        <v>448</v>
      </c>
      <c r="B283" s="62" t="s">
        <v>0</v>
      </c>
      <c r="C283" s="63" t="s">
        <v>455</v>
      </c>
      <c r="D283" s="174">
        <v>24</v>
      </c>
      <c r="E283" s="133" t="s">
        <v>545</v>
      </c>
      <c r="F283" s="177" t="s">
        <v>546</v>
      </c>
      <c r="G283" s="80"/>
    </row>
    <row r="284" spans="1:7" ht="15.75" thickBot="1" x14ac:dyDescent="0.3">
      <c r="A284" s="153" t="s">
        <v>448</v>
      </c>
      <c r="B284" s="8" t="s">
        <v>0</v>
      </c>
      <c r="C284" s="5" t="s">
        <v>456</v>
      </c>
      <c r="D284" s="175"/>
      <c r="E284" s="141"/>
      <c r="F284" s="141"/>
      <c r="G284" s="78"/>
    </row>
    <row r="285" spans="1:7" ht="15.75" thickBot="1" x14ac:dyDescent="0.3">
      <c r="A285" s="153" t="s">
        <v>448</v>
      </c>
      <c r="B285" s="90" t="s">
        <v>0</v>
      </c>
      <c r="C285" s="84" t="s">
        <v>457</v>
      </c>
      <c r="D285" s="175"/>
      <c r="E285" s="141"/>
      <c r="F285" s="141"/>
      <c r="G285" s="85"/>
    </row>
    <row r="286" spans="1:7" ht="16.5" thickBot="1" x14ac:dyDescent="0.3">
      <c r="A286" s="77" t="s">
        <v>256</v>
      </c>
      <c r="B286" s="103" t="s">
        <v>0</v>
      </c>
      <c r="C286" s="104" t="s">
        <v>145</v>
      </c>
      <c r="D286" s="129">
        <v>6</v>
      </c>
      <c r="E286" s="133" t="s">
        <v>545</v>
      </c>
      <c r="F286" s="177" t="s">
        <v>546</v>
      </c>
      <c r="G286" s="128" t="s">
        <v>2</v>
      </c>
    </row>
    <row r="287" spans="1:7" ht="16.5" thickBot="1" x14ac:dyDescent="0.3">
      <c r="A287" s="59" t="s">
        <v>264</v>
      </c>
      <c r="B287" s="62" t="s">
        <v>0</v>
      </c>
      <c r="C287" s="63" t="s">
        <v>153</v>
      </c>
      <c r="D287" s="130">
        <v>12</v>
      </c>
      <c r="E287" s="133" t="s">
        <v>545</v>
      </c>
      <c r="F287" s="177" t="s">
        <v>546</v>
      </c>
      <c r="G287" s="60"/>
    </row>
    <row r="288" spans="1:7" ht="16.5" thickBot="1" x14ac:dyDescent="0.3">
      <c r="A288" s="75" t="s">
        <v>263</v>
      </c>
      <c r="B288" s="8" t="s">
        <v>0</v>
      </c>
      <c r="C288" s="5" t="s">
        <v>152</v>
      </c>
      <c r="D288" s="92">
        <v>12</v>
      </c>
      <c r="E288" s="133" t="s">
        <v>545</v>
      </c>
      <c r="F288" s="177" t="s">
        <v>546</v>
      </c>
      <c r="G288" s="3"/>
    </row>
    <row r="289" spans="1:7" ht="16.5" thickBot="1" x14ac:dyDescent="0.3">
      <c r="A289" s="75" t="s">
        <v>262</v>
      </c>
      <c r="B289" s="8" t="s">
        <v>0</v>
      </c>
      <c r="C289" s="5" t="s">
        <v>151</v>
      </c>
      <c r="D289" s="92">
        <v>12</v>
      </c>
      <c r="E289" s="133" t="s">
        <v>545</v>
      </c>
      <c r="F289" s="177" t="s">
        <v>546</v>
      </c>
      <c r="G289" s="3"/>
    </row>
    <row r="290" spans="1:7" ht="16.5" thickBot="1" x14ac:dyDescent="0.3">
      <c r="A290" s="65" t="s">
        <v>261</v>
      </c>
      <c r="B290" s="69" t="s">
        <v>0</v>
      </c>
      <c r="C290" s="70" t="s">
        <v>150</v>
      </c>
      <c r="D290" s="131">
        <v>12</v>
      </c>
      <c r="E290" s="133" t="s">
        <v>545</v>
      </c>
      <c r="F290" s="177" t="s">
        <v>546</v>
      </c>
      <c r="G290" s="66"/>
    </row>
    <row r="291" spans="1:7" ht="16.5" thickBot="1" x14ac:dyDescent="0.3">
      <c r="A291" s="74" t="s">
        <v>242</v>
      </c>
      <c r="B291" s="101" t="s">
        <v>0</v>
      </c>
      <c r="C291" s="102" t="s">
        <v>125</v>
      </c>
      <c r="D291" s="98">
        <v>60</v>
      </c>
      <c r="E291" s="98"/>
      <c r="F291" s="177" t="s">
        <v>546</v>
      </c>
      <c r="G291" s="98"/>
    </row>
    <row r="292" spans="1:7" ht="15.75" x14ac:dyDescent="0.25">
      <c r="A292" s="73" t="s">
        <v>29</v>
      </c>
      <c r="B292" s="89" t="s">
        <v>0</v>
      </c>
      <c r="C292" s="82" t="s">
        <v>126</v>
      </c>
      <c r="D292" s="99"/>
      <c r="E292" s="99"/>
      <c r="F292" s="177" t="s">
        <v>546</v>
      </c>
      <c r="G292" s="73"/>
    </row>
    <row r="293" spans="1:7" x14ac:dyDescent="0.25">
      <c r="A293" s="3" t="s">
        <v>29</v>
      </c>
      <c r="B293" s="8"/>
      <c r="C293" s="5" t="s">
        <v>127</v>
      </c>
      <c r="D293" s="100"/>
      <c r="E293" s="143"/>
      <c r="F293" s="143"/>
      <c r="G293" s="3"/>
    </row>
    <row r="294" spans="1:7" x14ac:dyDescent="0.25">
      <c r="A294" s="3" t="s">
        <v>29</v>
      </c>
      <c r="B294" s="8"/>
      <c r="C294" s="5" t="s">
        <v>129</v>
      </c>
      <c r="D294" s="100"/>
      <c r="E294" s="143"/>
      <c r="F294" s="143"/>
      <c r="G294" s="3"/>
    </row>
    <row r="295" spans="1:7" x14ac:dyDescent="0.25">
      <c r="A295" s="3" t="s">
        <v>29</v>
      </c>
      <c r="B295" s="8"/>
      <c r="C295" s="5" t="s">
        <v>130</v>
      </c>
      <c r="D295" s="100"/>
      <c r="E295" s="143"/>
      <c r="F295" s="143"/>
      <c r="G295" s="3"/>
    </row>
    <row r="296" spans="1:7" x14ac:dyDescent="0.25">
      <c r="A296" s="3" t="s">
        <v>29</v>
      </c>
      <c r="B296" s="8"/>
      <c r="C296" s="5" t="s">
        <v>131</v>
      </c>
      <c r="D296" s="100"/>
      <c r="E296" s="143"/>
      <c r="F296" s="143"/>
      <c r="G296" s="3"/>
    </row>
    <row r="297" spans="1:7" ht="15.75" thickBot="1" x14ac:dyDescent="0.3">
      <c r="A297" s="56" t="s">
        <v>29</v>
      </c>
      <c r="B297" s="90"/>
      <c r="C297" s="84" t="s">
        <v>132</v>
      </c>
      <c r="D297" s="110"/>
      <c r="E297" s="144"/>
      <c r="F297" s="144"/>
      <c r="G297" s="56"/>
    </row>
    <row r="298" spans="1:7" ht="15.75" x14ac:dyDescent="0.25">
      <c r="A298" s="149" t="s">
        <v>253</v>
      </c>
      <c r="B298" s="62" t="s">
        <v>18</v>
      </c>
      <c r="C298" s="63" t="s">
        <v>142</v>
      </c>
      <c r="D298" s="163">
        <v>2</v>
      </c>
      <c r="E298" s="133" t="s">
        <v>545</v>
      </c>
      <c r="F298" s="177" t="s">
        <v>546</v>
      </c>
      <c r="G298" s="80"/>
    </row>
    <row r="299" spans="1:7" x14ac:dyDescent="0.25">
      <c r="A299" s="150" t="s">
        <v>253</v>
      </c>
      <c r="B299" s="8" t="s">
        <v>18</v>
      </c>
      <c r="C299" s="5" t="s">
        <v>490</v>
      </c>
      <c r="D299" s="164"/>
      <c r="E299" s="145"/>
      <c r="F299" s="145"/>
      <c r="G299" s="49" t="s">
        <v>26</v>
      </c>
    </row>
    <row r="300" spans="1:7" x14ac:dyDescent="0.25">
      <c r="A300" s="150" t="s">
        <v>253</v>
      </c>
      <c r="B300" s="8" t="s">
        <v>18</v>
      </c>
      <c r="C300" s="5" t="s">
        <v>15</v>
      </c>
      <c r="D300" s="164"/>
      <c r="E300" s="145"/>
      <c r="F300" s="145"/>
      <c r="G300" s="49" t="s">
        <v>26</v>
      </c>
    </row>
    <row r="301" spans="1:7" ht="15.75" thickBot="1" x14ac:dyDescent="0.3">
      <c r="A301" s="151" t="s">
        <v>253</v>
      </c>
      <c r="B301" s="69" t="s">
        <v>18</v>
      </c>
      <c r="C301" s="70" t="s">
        <v>22</v>
      </c>
      <c r="D301" s="169"/>
      <c r="E301" s="140"/>
      <c r="F301" s="140"/>
      <c r="G301" s="58" t="s">
        <v>26</v>
      </c>
    </row>
    <row r="302" spans="1:7" ht="16.5" thickBot="1" x14ac:dyDescent="0.3">
      <c r="A302" s="74" t="s">
        <v>245</v>
      </c>
      <c r="B302" s="101" t="s">
        <v>18</v>
      </c>
      <c r="C302" s="102" t="s">
        <v>134</v>
      </c>
      <c r="D302" s="156">
        <v>3</v>
      </c>
      <c r="E302" s="133" t="s">
        <v>545</v>
      </c>
      <c r="F302" s="177" t="s">
        <v>546</v>
      </c>
      <c r="G302" s="98"/>
    </row>
    <row r="303" spans="1:7" ht="16.5" thickBot="1" x14ac:dyDescent="0.3">
      <c r="A303" s="73" t="s">
        <v>248</v>
      </c>
      <c r="B303" s="89"/>
      <c r="C303" s="82" t="s">
        <v>137</v>
      </c>
      <c r="D303" s="116">
        <v>6</v>
      </c>
      <c r="E303" s="133" t="s">
        <v>545</v>
      </c>
      <c r="F303" s="177" t="s">
        <v>546</v>
      </c>
      <c r="G303" s="73"/>
    </row>
    <row r="304" spans="1:7" ht="16.5" thickBot="1" x14ac:dyDescent="0.3">
      <c r="A304" s="56" t="s">
        <v>250</v>
      </c>
      <c r="B304" s="90"/>
      <c r="C304" s="84" t="s">
        <v>139</v>
      </c>
      <c r="D304" s="113">
        <v>6</v>
      </c>
      <c r="E304" s="133" t="s">
        <v>545</v>
      </c>
      <c r="F304" s="177" t="s">
        <v>546</v>
      </c>
      <c r="G304" s="56"/>
    </row>
    <row r="305" spans="1:7" ht="15.75" x14ac:dyDescent="0.25">
      <c r="A305" s="149" t="s">
        <v>252</v>
      </c>
      <c r="B305" s="62" t="s">
        <v>18</v>
      </c>
      <c r="C305" s="63" t="s">
        <v>141</v>
      </c>
      <c r="D305" s="160">
        <v>3</v>
      </c>
      <c r="E305" s="133" t="s">
        <v>545</v>
      </c>
      <c r="F305" s="177" t="s">
        <v>546</v>
      </c>
      <c r="G305" s="60"/>
    </row>
    <row r="306" spans="1:7" x14ac:dyDescent="0.25">
      <c r="A306" s="150" t="s">
        <v>252</v>
      </c>
      <c r="B306" s="8" t="s">
        <v>18</v>
      </c>
      <c r="C306" s="5" t="s">
        <v>426</v>
      </c>
      <c r="D306" s="161"/>
      <c r="E306" s="134"/>
      <c r="F306" s="134"/>
      <c r="G306" s="3"/>
    </row>
    <row r="307" spans="1:7" x14ac:dyDescent="0.25">
      <c r="A307" s="150" t="s">
        <v>252</v>
      </c>
      <c r="B307" s="8" t="s">
        <v>18</v>
      </c>
      <c r="C307" s="5" t="s">
        <v>427</v>
      </c>
      <c r="D307" s="161"/>
      <c r="E307" s="134"/>
      <c r="F307" s="134"/>
      <c r="G307" s="3"/>
    </row>
    <row r="308" spans="1:7" x14ac:dyDescent="0.25">
      <c r="A308" s="150" t="s">
        <v>252</v>
      </c>
      <c r="B308" s="8" t="s">
        <v>18</v>
      </c>
      <c r="C308" s="5" t="s">
        <v>428</v>
      </c>
      <c r="D308" s="161"/>
      <c r="E308" s="134"/>
      <c r="F308" s="134"/>
      <c r="G308" s="3"/>
    </row>
    <row r="309" spans="1:7" x14ac:dyDescent="0.25">
      <c r="A309" s="150" t="s">
        <v>252</v>
      </c>
      <c r="B309" s="8" t="s">
        <v>18</v>
      </c>
      <c r="C309" s="5" t="s">
        <v>429</v>
      </c>
      <c r="D309" s="161"/>
      <c r="E309" s="134"/>
      <c r="F309" s="134"/>
      <c r="G309" s="3"/>
    </row>
    <row r="310" spans="1:7" x14ac:dyDescent="0.25">
      <c r="A310" s="150" t="s">
        <v>252</v>
      </c>
      <c r="B310" s="8" t="s">
        <v>18</v>
      </c>
      <c r="C310" s="5" t="s">
        <v>430</v>
      </c>
      <c r="D310" s="161"/>
      <c r="E310" s="134"/>
      <c r="F310" s="134"/>
      <c r="G310" s="3"/>
    </row>
    <row r="311" spans="1:7" x14ac:dyDescent="0.25">
      <c r="A311" s="150" t="s">
        <v>252</v>
      </c>
      <c r="B311" s="8" t="s">
        <v>18</v>
      </c>
      <c r="C311" s="5" t="s">
        <v>431</v>
      </c>
      <c r="D311" s="161"/>
      <c r="E311" s="134"/>
      <c r="F311" s="134"/>
      <c r="G311" s="3"/>
    </row>
    <row r="312" spans="1:7" x14ac:dyDescent="0.25">
      <c r="A312" s="150" t="s">
        <v>252</v>
      </c>
      <c r="B312" s="8" t="s">
        <v>18</v>
      </c>
      <c r="C312" s="5" t="s">
        <v>432</v>
      </c>
      <c r="D312" s="161"/>
      <c r="E312" s="134"/>
      <c r="F312" s="134"/>
      <c r="G312" s="3"/>
    </row>
    <row r="313" spans="1:7" x14ac:dyDescent="0.25">
      <c r="A313" s="150" t="s">
        <v>252</v>
      </c>
      <c r="B313" s="8" t="s">
        <v>18</v>
      </c>
      <c r="C313" s="5" t="s">
        <v>433</v>
      </c>
      <c r="D313" s="161"/>
      <c r="E313" s="134"/>
      <c r="F313" s="134"/>
      <c r="G313" s="3"/>
    </row>
    <row r="314" spans="1:7" x14ac:dyDescent="0.25">
      <c r="A314" s="150" t="s">
        <v>252</v>
      </c>
      <c r="B314" s="8" t="s">
        <v>18</v>
      </c>
      <c r="C314" s="5" t="s">
        <v>434</v>
      </c>
      <c r="D314" s="161"/>
      <c r="E314" s="134"/>
      <c r="F314" s="134"/>
      <c r="G314" s="3"/>
    </row>
    <row r="315" spans="1:7" ht="15.75" thickBot="1" x14ac:dyDescent="0.3">
      <c r="A315" s="151" t="s">
        <v>252</v>
      </c>
      <c r="B315" s="69" t="s">
        <v>18</v>
      </c>
      <c r="C315" s="70" t="s">
        <v>435</v>
      </c>
      <c r="D315" s="167"/>
      <c r="E315" s="135"/>
      <c r="F315" s="135"/>
      <c r="G315" s="66"/>
    </row>
    <row r="316" spans="1:7" ht="16.5" thickBot="1" x14ac:dyDescent="0.3">
      <c r="A316" s="74" t="s">
        <v>254</v>
      </c>
      <c r="B316" s="101"/>
      <c r="C316" s="102" t="s">
        <v>143</v>
      </c>
      <c r="D316" s="127">
        <v>6</v>
      </c>
      <c r="E316" s="133" t="s">
        <v>545</v>
      </c>
      <c r="F316" s="177" t="s">
        <v>546</v>
      </c>
      <c r="G316" s="98"/>
    </row>
    <row r="317" spans="1:7" ht="15.75" x14ac:dyDescent="0.25">
      <c r="A317" s="155" t="s">
        <v>255</v>
      </c>
      <c r="B317" s="89" t="s">
        <v>18</v>
      </c>
      <c r="C317" s="82" t="s">
        <v>144</v>
      </c>
      <c r="D317" s="166">
        <v>3</v>
      </c>
      <c r="E317" s="133" t="s">
        <v>545</v>
      </c>
      <c r="F317" s="177" t="s">
        <v>546</v>
      </c>
      <c r="G317" s="73"/>
    </row>
    <row r="318" spans="1:7" x14ac:dyDescent="0.25">
      <c r="A318" s="155" t="s">
        <v>255</v>
      </c>
      <c r="B318" s="8" t="s">
        <v>18</v>
      </c>
      <c r="C318" s="5" t="s">
        <v>422</v>
      </c>
      <c r="D318" s="161"/>
      <c r="E318" s="134"/>
      <c r="F318" s="134"/>
      <c r="G318" s="3"/>
    </row>
    <row r="319" spans="1:7" x14ac:dyDescent="0.25">
      <c r="A319" s="155" t="s">
        <v>255</v>
      </c>
      <c r="B319" s="8" t="s">
        <v>18</v>
      </c>
      <c r="C319" s="5" t="s">
        <v>423</v>
      </c>
      <c r="D319" s="161"/>
      <c r="E319" s="134"/>
      <c r="F319" s="134"/>
      <c r="G319" s="3"/>
    </row>
    <row r="320" spans="1:7" x14ac:dyDescent="0.25">
      <c r="A320" s="155" t="s">
        <v>255</v>
      </c>
      <c r="B320" s="8" t="s">
        <v>18</v>
      </c>
      <c r="C320" s="5" t="s">
        <v>424</v>
      </c>
      <c r="D320" s="161"/>
      <c r="E320" s="134"/>
      <c r="F320" s="134"/>
      <c r="G320" s="3"/>
    </row>
    <row r="321" spans="1:7" ht="15.75" thickBot="1" x14ac:dyDescent="0.3">
      <c r="A321" s="155" t="s">
        <v>255</v>
      </c>
      <c r="B321" s="69" t="s">
        <v>18</v>
      </c>
      <c r="C321" s="70" t="s">
        <v>425</v>
      </c>
      <c r="D321" s="167"/>
      <c r="E321" s="135"/>
      <c r="F321" s="135"/>
      <c r="G321" s="66"/>
    </row>
    <row r="322" spans="1:7" ht="16.5" thickBot="1" x14ac:dyDescent="0.3">
      <c r="A322" s="74" t="s">
        <v>257</v>
      </c>
      <c r="B322" s="101"/>
      <c r="C322" s="102" t="s">
        <v>146</v>
      </c>
      <c r="D322" s="127">
        <v>12</v>
      </c>
      <c r="E322" s="127"/>
      <c r="F322" s="177" t="s">
        <v>546</v>
      </c>
      <c r="G322" s="98"/>
    </row>
    <row r="323" spans="1:7" ht="15.75" x14ac:dyDescent="0.25">
      <c r="A323" s="149" t="s">
        <v>259</v>
      </c>
      <c r="B323" s="62" t="s">
        <v>18</v>
      </c>
      <c r="C323" s="63" t="s">
        <v>148</v>
      </c>
      <c r="D323" s="163">
        <v>3</v>
      </c>
      <c r="E323" s="133" t="s">
        <v>545</v>
      </c>
      <c r="F323" s="177" t="s">
        <v>546</v>
      </c>
      <c r="G323" s="57" t="s">
        <v>12</v>
      </c>
    </row>
    <row r="324" spans="1:7" x14ac:dyDescent="0.25">
      <c r="A324" s="155" t="s">
        <v>259</v>
      </c>
      <c r="B324" s="8" t="s">
        <v>18</v>
      </c>
      <c r="C324" s="5" t="s">
        <v>481</v>
      </c>
      <c r="D324" s="164"/>
      <c r="E324" s="145"/>
      <c r="F324" s="145"/>
      <c r="G324" s="49" t="s">
        <v>12</v>
      </c>
    </row>
    <row r="325" spans="1:7" x14ac:dyDescent="0.25">
      <c r="A325" s="155" t="s">
        <v>259</v>
      </c>
      <c r="B325" s="8" t="s">
        <v>18</v>
      </c>
      <c r="C325" s="5" t="s">
        <v>483</v>
      </c>
      <c r="D325" s="164"/>
      <c r="E325" s="145"/>
      <c r="F325" s="145"/>
      <c r="G325" s="49" t="s">
        <v>12</v>
      </c>
    </row>
    <row r="326" spans="1:7" x14ac:dyDescent="0.25">
      <c r="A326" s="155" t="s">
        <v>259</v>
      </c>
      <c r="B326" s="8" t="s">
        <v>18</v>
      </c>
      <c r="C326" s="5" t="s">
        <v>485</v>
      </c>
      <c r="D326" s="164"/>
      <c r="E326" s="145"/>
      <c r="F326" s="145"/>
      <c r="G326" s="49" t="s">
        <v>12</v>
      </c>
    </row>
    <row r="327" spans="1:7" ht="15.75" thickBot="1" x14ac:dyDescent="0.3">
      <c r="A327" s="157" t="s">
        <v>259</v>
      </c>
      <c r="B327" s="69" t="s">
        <v>18</v>
      </c>
      <c r="C327" s="70" t="s">
        <v>482</v>
      </c>
      <c r="D327" s="169"/>
      <c r="E327" s="140"/>
      <c r="F327" s="140"/>
      <c r="G327" s="58" t="s">
        <v>12</v>
      </c>
    </row>
    <row r="328" spans="1:7" ht="16.5" thickBot="1" x14ac:dyDescent="0.3">
      <c r="A328" s="73" t="s">
        <v>260</v>
      </c>
      <c r="B328" s="89" t="s">
        <v>18</v>
      </c>
      <c r="C328" s="82" t="s">
        <v>149</v>
      </c>
      <c r="D328" s="116">
        <v>4</v>
      </c>
      <c r="E328" s="133" t="s">
        <v>545</v>
      </c>
      <c r="F328" s="177" t="s">
        <v>546</v>
      </c>
      <c r="G328" s="73"/>
    </row>
    <row r="329" spans="1:7" ht="16.5" thickBot="1" x14ac:dyDescent="0.3">
      <c r="A329" s="3" t="s">
        <v>265</v>
      </c>
      <c r="B329" s="8" t="s">
        <v>18</v>
      </c>
      <c r="C329" s="5" t="s">
        <v>154</v>
      </c>
      <c r="D329" s="111">
        <v>12</v>
      </c>
      <c r="E329" s="133" t="s">
        <v>545</v>
      </c>
      <c r="F329" s="177" t="s">
        <v>546</v>
      </c>
      <c r="G329" s="3"/>
    </row>
    <row r="330" spans="1:7" ht="16.5" thickBot="1" x14ac:dyDescent="0.3">
      <c r="A330" s="3" t="s">
        <v>266</v>
      </c>
      <c r="B330" s="8" t="s">
        <v>18</v>
      </c>
      <c r="C330" s="5" t="s">
        <v>155</v>
      </c>
      <c r="D330" s="111">
        <v>12</v>
      </c>
      <c r="E330" s="133" t="s">
        <v>545</v>
      </c>
      <c r="F330" s="177" t="s">
        <v>546</v>
      </c>
      <c r="G330" s="3"/>
    </row>
    <row r="331" spans="1:7" ht="16.5" thickBot="1" x14ac:dyDescent="0.3">
      <c r="A331" s="3" t="s">
        <v>267</v>
      </c>
      <c r="B331" s="8" t="s">
        <v>18</v>
      </c>
      <c r="C331" s="5" t="s">
        <v>156</v>
      </c>
      <c r="D331" s="121">
        <v>12</v>
      </c>
      <c r="E331" s="133" t="s">
        <v>545</v>
      </c>
      <c r="F331" s="177" t="s">
        <v>546</v>
      </c>
      <c r="G331" s="49" t="s">
        <v>12</v>
      </c>
    </row>
    <row r="332" spans="1:7" ht="16.5" thickBot="1" x14ac:dyDescent="0.3">
      <c r="A332" s="3" t="s">
        <v>268</v>
      </c>
      <c r="B332" s="8" t="s">
        <v>18</v>
      </c>
      <c r="C332" s="5" t="s">
        <v>157</v>
      </c>
      <c r="D332" s="111">
        <v>12</v>
      </c>
      <c r="E332" s="133" t="s">
        <v>545</v>
      </c>
      <c r="F332" s="177" t="s">
        <v>546</v>
      </c>
      <c r="G332" s="49" t="s">
        <v>5</v>
      </c>
    </row>
    <row r="333" spans="1:7" ht="16.5" thickBot="1" x14ac:dyDescent="0.3">
      <c r="A333" s="3" t="s">
        <v>269</v>
      </c>
      <c r="B333" s="8" t="s">
        <v>18</v>
      </c>
      <c r="C333" s="5" t="s">
        <v>158</v>
      </c>
      <c r="D333" s="111">
        <v>12</v>
      </c>
      <c r="E333" s="133" t="s">
        <v>545</v>
      </c>
      <c r="F333" s="177" t="s">
        <v>546</v>
      </c>
      <c r="G333" s="3"/>
    </row>
    <row r="334" spans="1:7" ht="16.5" thickBot="1" x14ac:dyDescent="0.3">
      <c r="A334" s="3" t="s">
        <v>270</v>
      </c>
      <c r="B334" s="8" t="s">
        <v>18</v>
      </c>
      <c r="C334" s="5" t="s">
        <v>159</v>
      </c>
      <c r="D334" s="111">
        <v>120</v>
      </c>
      <c r="E334" s="133" t="s">
        <v>545</v>
      </c>
      <c r="F334" s="177" t="s">
        <v>546</v>
      </c>
      <c r="G334" s="3"/>
    </row>
    <row r="335" spans="1:7" ht="16.5" thickBot="1" x14ac:dyDescent="0.3">
      <c r="A335" s="56" t="s">
        <v>271</v>
      </c>
      <c r="B335" s="90" t="s">
        <v>18</v>
      </c>
      <c r="C335" s="84" t="s">
        <v>160</v>
      </c>
      <c r="D335" s="117">
        <v>12</v>
      </c>
      <c r="E335" s="133" t="s">
        <v>545</v>
      </c>
      <c r="F335" s="177" t="s">
        <v>546</v>
      </c>
      <c r="G335" s="56"/>
    </row>
    <row r="336" spans="1:7" ht="16.5" thickBot="1" x14ac:dyDescent="0.3">
      <c r="A336" s="77" t="s">
        <v>272</v>
      </c>
      <c r="B336" s="103" t="s">
        <v>18</v>
      </c>
      <c r="C336" s="104" t="s">
        <v>161</v>
      </c>
      <c r="D336" s="118">
        <v>24</v>
      </c>
      <c r="E336" s="133" t="s">
        <v>545</v>
      </c>
      <c r="F336" s="177" t="s">
        <v>546</v>
      </c>
      <c r="G336" s="96" t="s">
        <v>5</v>
      </c>
    </row>
    <row r="337" spans="1:7" ht="16.5" thickBot="1" x14ac:dyDescent="0.3">
      <c r="A337" s="59" t="s">
        <v>273</v>
      </c>
      <c r="B337" s="62" t="s">
        <v>18</v>
      </c>
      <c r="C337" s="63" t="s">
        <v>162</v>
      </c>
      <c r="D337" s="114">
        <v>24</v>
      </c>
      <c r="E337" s="133" t="s">
        <v>545</v>
      </c>
      <c r="F337" s="177" t="s">
        <v>546</v>
      </c>
      <c r="G337" s="60" t="s">
        <v>5</v>
      </c>
    </row>
    <row r="338" spans="1:7" ht="16.5" thickBot="1" x14ac:dyDescent="0.3">
      <c r="A338" s="75" t="s">
        <v>274</v>
      </c>
      <c r="B338" s="8" t="s">
        <v>18</v>
      </c>
      <c r="C338" s="5" t="s">
        <v>163</v>
      </c>
      <c r="D338" s="111">
        <v>24</v>
      </c>
      <c r="E338" s="133" t="s">
        <v>545</v>
      </c>
      <c r="F338" s="177" t="s">
        <v>546</v>
      </c>
      <c r="G338" s="3" t="s">
        <v>5</v>
      </c>
    </row>
    <row r="339" spans="1:7" ht="16.5" thickBot="1" x14ac:dyDescent="0.3">
      <c r="A339" s="75" t="s">
        <v>275</v>
      </c>
      <c r="B339" s="8" t="s">
        <v>18</v>
      </c>
      <c r="C339" s="5" t="s">
        <v>164</v>
      </c>
      <c r="D339" s="111">
        <v>12</v>
      </c>
      <c r="E339" s="133" t="s">
        <v>545</v>
      </c>
      <c r="F339" s="177" t="s">
        <v>546</v>
      </c>
      <c r="G339" s="3"/>
    </row>
    <row r="340" spans="1:7" ht="16.5" thickBot="1" x14ac:dyDescent="0.3">
      <c r="A340" s="75" t="s">
        <v>276</v>
      </c>
      <c r="B340" s="8" t="s">
        <v>18</v>
      </c>
      <c r="C340" s="5" t="s">
        <v>165</v>
      </c>
      <c r="D340" s="111">
        <v>12</v>
      </c>
      <c r="E340" s="133" t="s">
        <v>545</v>
      </c>
      <c r="F340" s="177" t="s">
        <v>546</v>
      </c>
      <c r="G340" s="3"/>
    </row>
    <row r="341" spans="1:7" ht="16.5" thickBot="1" x14ac:dyDescent="0.3">
      <c r="A341" s="75" t="s">
        <v>277</v>
      </c>
      <c r="B341" s="8" t="s">
        <v>18</v>
      </c>
      <c r="C341" s="5" t="s">
        <v>166</v>
      </c>
      <c r="D341" s="111">
        <v>12</v>
      </c>
      <c r="E341" s="133" t="s">
        <v>545</v>
      </c>
      <c r="F341" s="177" t="s">
        <v>546</v>
      </c>
      <c r="G341" s="3"/>
    </row>
    <row r="342" spans="1:7" ht="16.5" thickBot="1" x14ac:dyDescent="0.3">
      <c r="A342" s="75" t="s">
        <v>278</v>
      </c>
      <c r="B342" s="8" t="s">
        <v>18</v>
      </c>
      <c r="C342" s="5" t="s">
        <v>167</v>
      </c>
      <c r="D342" s="111">
        <v>24</v>
      </c>
      <c r="E342" s="133" t="s">
        <v>545</v>
      </c>
      <c r="F342" s="177" t="s">
        <v>546</v>
      </c>
      <c r="G342" s="3" t="s">
        <v>5</v>
      </c>
    </row>
    <row r="343" spans="1:7" ht="16.5" thickBot="1" x14ac:dyDescent="0.3">
      <c r="A343" s="75" t="s">
        <v>279</v>
      </c>
      <c r="B343" s="8" t="s">
        <v>18</v>
      </c>
      <c r="C343" s="5" t="s">
        <v>168</v>
      </c>
      <c r="D343" s="111">
        <v>12</v>
      </c>
      <c r="E343" s="133" t="s">
        <v>545</v>
      </c>
      <c r="F343" s="177" t="s">
        <v>546</v>
      </c>
      <c r="G343" s="3"/>
    </row>
    <row r="344" spans="1:7" ht="16.5" thickBot="1" x14ac:dyDescent="0.3">
      <c r="A344" s="75" t="s">
        <v>280</v>
      </c>
      <c r="B344" s="8" t="s">
        <v>18</v>
      </c>
      <c r="C344" s="5" t="s">
        <v>402</v>
      </c>
      <c r="D344" s="111">
        <v>12</v>
      </c>
      <c r="E344" s="133" t="s">
        <v>545</v>
      </c>
      <c r="F344" s="177" t="s">
        <v>546</v>
      </c>
      <c r="G344" s="3" t="s">
        <v>5</v>
      </c>
    </row>
    <row r="345" spans="1:7" ht="16.5" thickBot="1" x14ac:dyDescent="0.3">
      <c r="A345" s="75" t="s">
        <v>281</v>
      </c>
      <c r="B345" s="8" t="s">
        <v>18</v>
      </c>
      <c r="C345" s="5" t="s">
        <v>169</v>
      </c>
      <c r="D345" s="111">
        <v>12</v>
      </c>
      <c r="E345" s="133" t="s">
        <v>545</v>
      </c>
      <c r="F345" s="177" t="s">
        <v>546</v>
      </c>
      <c r="G345" s="3"/>
    </row>
    <row r="346" spans="1:7" ht="16.5" thickBot="1" x14ac:dyDescent="0.3">
      <c r="A346" s="75" t="s">
        <v>282</v>
      </c>
      <c r="B346" s="8" t="s">
        <v>18</v>
      </c>
      <c r="C346" s="5" t="s">
        <v>170</v>
      </c>
      <c r="D346" s="111">
        <v>12</v>
      </c>
      <c r="E346" s="133" t="s">
        <v>545</v>
      </c>
      <c r="F346" s="177" t="s">
        <v>546</v>
      </c>
      <c r="G346" s="3"/>
    </row>
    <row r="347" spans="1:7" ht="16.5" thickBot="1" x14ac:dyDescent="0.3">
      <c r="A347" s="75" t="s">
        <v>283</v>
      </c>
      <c r="B347" s="8" t="s">
        <v>18</v>
      </c>
      <c r="C347" s="5" t="s">
        <v>171</v>
      </c>
      <c r="D347" s="111">
        <v>60</v>
      </c>
      <c r="E347" s="133" t="s">
        <v>545</v>
      </c>
      <c r="F347" s="177" t="s">
        <v>546</v>
      </c>
      <c r="G347" s="3"/>
    </row>
    <row r="348" spans="1:7" ht="16.5" thickBot="1" x14ac:dyDescent="0.3">
      <c r="A348" s="75" t="s">
        <v>284</v>
      </c>
      <c r="B348" s="8" t="s">
        <v>18</v>
      </c>
      <c r="C348" s="5" t="s">
        <v>172</v>
      </c>
      <c r="D348" s="111">
        <v>60</v>
      </c>
      <c r="E348" s="133" t="s">
        <v>545</v>
      </c>
      <c r="F348" s="177" t="s">
        <v>546</v>
      </c>
      <c r="G348" s="3"/>
    </row>
    <row r="349" spans="1:7" ht="16.5" thickBot="1" x14ac:dyDescent="0.3">
      <c r="A349" s="75" t="s">
        <v>285</v>
      </c>
      <c r="B349" s="8" t="s">
        <v>18</v>
      </c>
      <c r="C349" s="5" t="s">
        <v>173</v>
      </c>
      <c r="D349" s="111">
        <v>24</v>
      </c>
      <c r="E349" s="133" t="s">
        <v>545</v>
      </c>
      <c r="F349" s="177" t="s">
        <v>546</v>
      </c>
      <c r="G349" s="3"/>
    </row>
    <row r="350" spans="1:7" ht="16.5" thickBot="1" x14ac:dyDescent="0.3">
      <c r="A350" s="75" t="s">
        <v>286</v>
      </c>
      <c r="B350" s="8" t="s">
        <v>18</v>
      </c>
      <c r="C350" s="5" t="s">
        <v>174</v>
      </c>
      <c r="D350" s="111">
        <v>12</v>
      </c>
      <c r="E350" s="133" t="s">
        <v>545</v>
      </c>
      <c r="F350" s="177" t="s">
        <v>546</v>
      </c>
      <c r="G350" s="3" t="s">
        <v>5</v>
      </c>
    </row>
    <row r="351" spans="1:7" ht="16.5" thickBot="1" x14ac:dyDescent="0.3">
      <c r="A351" s="76" t="s">
        <v>287</v>
      </c>
      <c r="B351" s="90" t="s">
        <v>18</v>
      </c>
      <c r="C351" s="84" t="s">
        <v>175</v>
      </c>
      <c r="D351" s="117">
        <v>12</v>
      </c>
      <c r="E351" s="133" t="s">
        <v>545</v>
      </c>
      <c r="F351" s="177" t="s">
        <v>546</v>
      </c>
      <c r="G351" s="56"/>
    </row>
    <row r="352" spans="1:7" ht="15.75" x14ac:dyDescent="0.25">
      <c r="A352" s="149" t="s">
        <v>288</v>
      </c>
      <c r="B352" s="62" t="s">
        <v>18</v>
      </c>
      <c r="C352" s="63" t="s">
        <v>176</v>
      </c>
      <c r="D352" s="160">
        <v>3</v>
      </c>
      <c r="E352" s="133" t="s">
        <v>545</v>
      </c>
      <c r="F352" s="177" t="s">
        <v>546</v>
      </c>
      <c r="G352" s="80"/>
    </row>
    <row r="353" spans="1:7" x14ac:dyDescent="0.25">
      <c r="A353" s="150" t="s">
        <v>288</v>
      </c>
      <c r="B353" s="8" t="s">
        <v>18</v>
      </c>
      <c r="C353" s="5" t="s">
        <v>418</v>
      </c>
      <c r="D353" s="161"/>
      <c r="E353" s="134"/>
      <c r="F353" s="134"/>
      <c r="G353" s="78"/>
    </row>
    <row r="354" spans="1:7" x14ac:dyDescent="0.25">
      <c r="A354" s="150" t="s">
        <v>288</v>
      </c>
      <c r="B354" s="8" t="s">
        <v>18</v>
      </c>
      <c r="C354" s="5" t="s">
        <v>419</v>
      </c>
      <c r="D354" s="161"/>
      <c r="E354" s="134"/>
      <c r="F354" s="134"/>
      <c r="G354" s="78"/>
    </row>
    <row r="355" spans="1:7" x14ac:dyDescent="0.25">
      <c r="A355" s="150" t="s">
        <v>288</v>
      </c>
      <c r="B355" s="8" t="s">
        <v>18</v>
      </c>
      <c r="C355" s="5" t="s">
        <v>420</v>
      </c>
      <c r="D355" s="161"/>
      <c r="E355" s="134"/>
      <c r="F355" s="134"/>
      <c r="G355" s="78"/>
    </row>
    <row r="356" spans="1:7" ht="15.75" thickBot="1" x14ac:dyDescent="0.3">
      <c r="A356" s="154" t="s">
        <v>288</v>
      </c>
      <c r="B356" s="90" t="s">
        <v>18</v>
      </c>
      <c r="C356" s="84" t="s">
        <v>421</v>
      </c>
      <c r="D356" s="162"/>
      <c r="E356" s="146"/>
      <c r="F356" s="146"/>
      <c r="G356" s="85"/>
    </row>
    <row r="357" spans="1:7" ht="15.75" x14ac:dyDescent="0.25">
      <c r="A357" s="149" t="s">
        <v>289</v>
      </c>
      <c r="B357" s="62" t="s">
        <v>18</v>
      </c>
      <c r="C357" s="63" t="s">
        <v>177</v>
      </c>
      <c r="D357" s="160">
        <v>1</v>
      </c>
      <c r="E357" s="133" t="s">
        <v>545</v>
      </c>
      <c r="F357" s="177" t="s">
        <v>546</v>
      </c>
      <c r="G357" s="57" t="s">
        <v>5</v>
      </c>
    </row>
    <row r="358" spans="1:7" ht="15.75" thickBot="1" x14ac:dyDescent="0.3">
      <c r="A358" s="154" t="s">
        <v>289</v>
      </c>
      <c r="B358" s="90" t="s">
        <v>18</v>
      </c>
      <c r="C358" s="84" t="s">
        <v>498</v>
      </c>
      <c r="D358" s="162"/>
      <c r="E358" s="146"/>
      <c r="F358" s="146"/>
      <c r="G358" s="132" t="s">
        <v>5</v>
      </c>
    </row>
    <row r="359" spans="1:7" ht="15.75" x14ac:dyDescent="0.25">
      <c r="A359" s="149" t="s">
        <v>290</v>
      </c>
      <c r="B359" s="62" t="s">
        <v>18</v>
      </c>
      <c r="C359" s="63" t="s">
        <v>178</v>
      </c>
      <c r="D359" s="163">
        <v>1</v>
      </c>
      <c r="E359" s="133" t="s">
        <v>545</v>
      </c>
      <c r="F359" s="177" t="s">
        <v>546</v>
      </c>
      <c r="G359" s="60"/>
    </row>
    <row r="360" spans="1:7" x14ac:dyDescent="0.25">
      <c r="A360" s="150" t="s">
        <v>290</v>
      </c>
      <c r="B360" s="8" t="s">
        <v>18</v>
      </c>
      <c r="C360" s="5" t="s">
        <v>415</v>
      </c>
      <c r="D360" s="164"/>
      <c r="E360" s="145"/>
      <c r="F360" s="145"/>
      <c r="G360" s="3"/>
    </row>
    <row r="361" spans="1:7" x14ac:dyDescent="0.25">
      <c r="A361" s="150" t="s">
        <v>290</v>
      </c>
      <c r="B361" s="8" t="s">
        <v>18</v>
      </c>
      <c r="C361" s="5" t="s">
        <v>416</v>
      </c>
      <c r="D361" s="164"/>
      <c r="E361" s="145"/>
      <c r="F361" s="145"/>
      <c r="G361" s="3"/>
    </row>
    <row r="362" spans="1:7" ht="15.75" thickBot="1" x14ac:dyDescent="0.3">
      <c r="A362" s="151" t="s">
        <v>290</v>
      </c>
      <c r="B362" s="69" t="s">
        <v>18</v>
      </c>
      <c r="C362" s="70" t="s">
        <v>417</v>
      </c>
      <c r="D362" s="169"/>
      <c r="E362" s="140"/>
      <c r="F362" s="140"/>
      <c r="G362" s="66"/>
    </row>
    <row r="363" spans="1:7" ht="16.5" thickBot="1" x14ac:dyDescent="0.3">
      <c r="A363" s="123" t="s">
        <v>291</v>
      </c>
      <c r="B363" s="93"/>
      <c r="C363" s="94" t="s">
        <v>179</v>
      </c>
      <c r="D363" s="125">
        <v>6</v>
      </c>
      <c r="E363" s="133" t="s">
        <v>545</v>
      </c>
      <c r="F363" s="177" t="s">
        <v>546</v>
      </c>
      <c r="G363" s="97"/>
    </row>
    <row r="364" spans="1:7" ht="15.75" x14ac:dyDescent="0.25">
      <c r="A364" s="149" t="s">
        <v>293</v>
      </c>
      <c r="B364" s="62" t="s">
        <v>18</v>
      </c>
      <c r="C364" s="63" t="s">
        <v>180</v>
      </c>
      <c r="D364" s="163">
        <v>6</v>
      </c>
      <c r="E364" s="133" t="s">
        <v>545</v>
      </c>
      <c r="F364" s="177" t="s">
        <v>546</v>
      </c>
      <c r="G364" s="60"/>
    </row>
    <row r="365" spans="1:7" ht="15.75" thickBot="1" x14ac:dyDescent="0.3">
      <c r="A365" s="151" t="s">
        <v>293</v>
      </c>
      <c r="B365" s="69" t="s">
        <v>18</v>
      </c>
      <c r="C365" s="70" t="s">
        <v>185</v>
      </c>
      <c r="D365" s="169"/>
      <c r="E365" s="140"/>
      <c r="F365" s="140"/>
      <c r="G365" s="66"/>
    </row>
    <row r="366" spans="1:7" ht="15.75" x14ac:dyDescent="0.25">
      <c r="A366" s="149" t="s">
        <v>294</v>
      </c>
      <c r="B366" s="62" t="s">
        <v>18</v>
      </c>
      <c r="C366" s="63" t="s">
        <v>181</v>
      </c>
      <c r="D366" s="160">
        <v>3</v>
      </c>
      <c r="E366" s="133" t="s">
        <v>545</v>
      </c>
      <c r="F366" s="177" t="s">
        <v>546</v>
      </c>
      <c r="G366" s="60"/>
    </row>
    <row r="367" spans="1:7" x14ac:dyDescent="0.25">
      <c r="A367" s="155" t="s">
        <v>294</v>
      </c>
      <c r="B367" s="8" t="s">
        <v>18</v>
      </c>
      <c r="C367" s="5" t="s">
        <v>409</v>
      </c>
      <c r="D367" s="161"/>
      <c r="E367" s="134"/>
      <c r="F367" s="134"/>
      <c r="G367" s="3"/>
    </row>
    <row r="368" spans="1:7" x14ac:dyDescent="0.25">
      <c r="A368" s="155" t="s">
        <v>294</v>
      </c>
      <c r="B368" s="8" t="s">
        <v>18</v>
      </c>
      <c r="C368" s="5" t="s">
        <v>410</v>
      </c>
      <c r="D368" s="161"/>
      <c r="E368" s="134"/>
      <c r="F368" s="134"/>
      <c r="G368" s="3"/>
    </row>
    <row r="369" spans="1:7" x14ac:dyDescent="0.25">
      <c r="A369" s="155" t="s">
        <v>294</v>
      </c>
      <c r="B369" s="8" t="s">
        <v>18</v>
      </c>
      <c r="C369" s="5" t="s">
        <v>411</v>
      </c>
      <c r="D369" s="161"/>
      <c r="E369" s="134"/>
      <c r="F369" s="134"/>
      <c r="G369" s="3"/>
    </row>
    <row r="370" spans="1:7" x14ac:dyDescent="0.25">
      <c r="A370" s="155" t="s">
        <v>294</v>
      </c>
      <c r="B370" s="8" t="s">
        <v>18</v>
      </c>
      <c r="C370" s="5" t="s">
        <v>412</v>
      </c>
      <c r="D370" s="161"/>
      <c r="E370" s="134"/>
      <c r="F370" s="134"/>
      <c r="G370" s="3"/>
    </row>
    <row r="371" spans="1:7" x14ac:dyDescent="0.25">
      <c r="A371" s="155" t="s">
        <v>294</v>
      </c>
      <c r="B371" s="8" t="s">
        <v>18</v>
      </c>
      <c r="C371" s="5" t="s">
        <v>413</v>
      </c>
      <c r="D371" s="161"/>
      <c r="E371" s="134"/>
      <c r="F371" s="134"/>
      <c r="G371" s="3"/>
    </row>
    <row r="372" spans="1:7" ht="15.75" thickBot="1" x14ac:dyDescent="0.3">
      <c r="A372" s="157" t="s">
        <v>294</v>
      </c>
      <c r="B372" s="69" t="s">
        <v>18</v>
      </c>
      <c r="C372" s="70" t="s">
        <v>414</v>
      </c>
      <c r="D372" s="167"/>
      <c r="E372" s="135"/>
      <c r="F372" s="135"/>
      <c r="G372" s="66"/>
    </row>
    <row r="373" spans="1:7" ht="16.5" thickBot="1" x14ac:dyDescent="0.3">
      <c r="A373" s="72" t="s">
        <v>295</v>
      </c>
      <c r="B373" s="89" t="s">
        <v>18</v>
      </c>
      <c r="C373" s="82" t="s">
        <v>182</v>
      </c>
      <c r="D373" s="126">
        <v>6</v>
      </c>
      <c r="E373" s="133" t="s">
        <v>545</v>
      </c>
      <c r="F373" s="177" t="s">
        <v>546</v>
      </c>
      <c r="G373" s="73"/>
    </row>
    <row r="374" spans="1:7" ht="16.5" thickBot="1" x14ac:dyDescent="0.3">
      <c r="A374" s="65" t="s">
        <v>296</v>
      </c>
      <c r="B374" s="69" t="s">
        <v>18</v>
      </c>
      <c r="C374" s="70" t="s">
        <v>183</v>
      </c>
      <c r="D374" s="115">
        <v>6</v>
      </c>
      <c r="E374" s="133" t="s">
        <v>545</v>
      </c>
      <c r="F374" s="177" t="s">
        <v>546</v>
      </c>
      <c r="G374" s="66"/>
    </row>
    <row r="375" spans="1:7" ht="16.5" thickBot="1" x14ac:dyDescent="0.3">
      <c r="A375" s="73" t="s">
        <v>244</v>
      </c>
      <c r="B375" s="89" t="s">
        <v>18</v>
      </c>
      <c r="C375" s="82" t="s">
        <v>133</v>
      </c>
      <c r="D375" s="116">
        <v>12</v>
      </c>
      <c r="E375" s="133" t="s">
        <v>545</v>
      </c>
      <c r="F375" s="177" t="s">
        <v>546</v>
      </c>
      <c r="G375" s="83"/>
    </row>
    <row r="376" spans="1:7" ht="16.5" thickBot="1" x14ac:dyDescent="0.3">
      <c r="A376" s="3" t="s">
        <v>246</v>
      </c>
      <c r="B376" s="8" t="s">
        <v>18</v>
      </c>
      <c r="C376" s="5" t="s">
        <v>135</v>
      </c>
      <c r="D376" s="111">
        <v>3</v>
      </c>
      <c r="E376" s="133" t="s">
        <v>545</v>
      </c>
      <c r="F376" s="177" t="s">
        <v>546</v>
      </c>
      <c r="G376" s="78" t="s">
        <v>3</v>
      </c>
    </row>
    <row r="377" spans="1:7" ht="16.5" thickBot="1" x14ac:dyDescent="0.3">
      <c r="A377" s="3" t="s">
        <v>247</v>
      </c>
      <c r="B377" s="8" t="s">
        <v>18</v>
      </c>
      <c r="C377" s="5" t="s">
        <v>136</v>
      </c>
      <c r="D377" s="112">
        <v>12</v>
      </c>
      <c r="E377" s="133" t="s">
        <v>545</v>
      </c>
      <c r="F377" s="177" t="s">
        <v>546</v>
      </c>
      <c r="G377" s="78"/>
    </row>
    <row r="378" spans="1:7" ht="16.5" thickBot="1" x14ac:dyDescent="0.3">
      <c r="A378" s="3" t="s">
        <v>249</v>
      </c>
      <c r="B378" s="8" t="s">
        <v>18</v>
      </c>
      <c r="C378" s="5" t="s">
        <v>138</v>
      </c>
      <c r="D378" s="111">
        <v>3</v>
      </c>
      <c r="E378" s="133" t="s">
        <v>545</v>
      </c>
      <c r="F378" s="177" t="s">
        <v>546</v>
      </c>
      <c r="G378" s="78"/>
    </row>
    <row r="379" spans="1:7" ht="15.75" x14ac:dyDescent="0.25">
      <c r="A379" s="3" t="s">
        <v>251</v>
      </c>
      <c r="B379" s="8" t="s">
        <v>18</v>
      </c>
      <c r="C379" s="5" t="s">
        <v>140</v>
      </c>
      <c r="D379" s="111">
        <v>2</v>
      </c>
      <c r="E379" s="133" t="s">
        <v>545</v>
      </c>
      <c r="F379" s="177" t="s">
        <v>546</v>
      </c>
      <c r="G379" s="78"/>
    </row>
  </sheetData>
  <autoFilter ref="A1:D379"/>
  <mergeCells count="43">
    <mergeCell ref="D305:D315"/>
    <mergeCell ref="D317:D321"/>
    <mergeCell ref="D223:D231"/>
    <mergeCell ref="D243:D244"/>
    <mergeCell ref="D283:D285"/>
    <mergeCell ref="D352:D356"/>
    <mergeCell ref="D359:D362"/>
    <mergeCell ref="D364:D365"/>
    <mergeCell ref="D366:D372"/>
    <mergeCell ref="D323:D327"/>
    <mergeCell ref="D357:D358"/>
    <mergeCell ref="D95:D97"/>
    <mergeCell ref="D68:D72"/>
    <mergeCell ref="D111:D123"/>
    <mergeCell ref="D192:D197"/>
    <mergeCell ref="D298:D301"/>
    <mergeCell ref="D100:D110"/>
    <mergeCell ref="D127:D130"/>
    <mergeCell ref="D189:D191"/>
    <mergeCell ref="D144:D155"/>
    <mergeCell ref="D184:D185"/>
    <mergeCell ref="D186:D188"/>
    <mergeCell ref="D219:D221"/>
    <mergeCell ref="D131:D143"/>
    <mergeCell ref="D175:D183"/>
    <mergeCell ref="D169:D173"/>
    <mergeCell ref="D206:D207"/>
    <mergeCell ref="D4:D7"/>
    <mergeCell ref="D200:D205"/>
    <mergeCell ref="D51:D60"/>
    <mergeCell ref="D98:D99"/>
    <mergeCell ref="D82:D85"/>
    <mergeCell ref="D124:D126"/>
    <mergeCell ref="D8:D24"/>
    <mergeCell ref="D61:D63"/>
    <mergeCell ref="D36:D50"/>
    <mergeCell ref="D64:D67"/>
    <mergeCell ref="D73:D81"/>
    <mergeCell ref="D25:D35"/>
    <mergeCell ref="D86:D90"/>
    <mergeCell ref="D159:D168"/>
    <mergeCell ref="D91:D94"/>
    <mergeCell ref="D156:D158"/>
  </mergeCells>
  <phoneticPr fontId="1" type="noConversion"/>
  <conditionalFormatting sqref="A2:A1048576">
    <cfRule type="duplicateValues" dxfId="12" priority="1094"/>
  </conditionalFormatting>
  <conditionalFormatting sqref="A2:A1048576">
    <cfRule type="duplicateValues" dxfId="11" priority="1"/>
  </conditionalFormatting>
  <conditionalFormatting sqref="A2:A1048576">
    <cfRule type="duplicateValues" dxfId="10" priority="1084"/>
  </conditionalFormatting>
  <conditionalFormatting sqref="A2:A1048576">
    <cfRule type="duplicateValues" dxfId="9" priority="1114"/>
  </conditionalFormatting>
  <conditionalFormatting sqref="A2:A379">
    <cfRule type="duplicateValues" dxfId="8" priority="1028"/>
  </conditionalFormatting>
  <conditionalFormatting sqref="C2:C131 C144:C379">
    <cfRule type="duplicateValues" dxfId="5" priority="1021"/>
  </conditionalFormatting>
  <conditionalFormatting sqref="G125:G126">
    <cfRule type="expression" dxfId="4" priority="9">
      <formula>AND(#REF!="",G125="Done")</formula>
    </cfRule>
  </conditionalFormatting>
  <conditionalFormatting sqref="G352:G356">
    <cfRule type="expression" dxfId="3" priority="2">
      <formula>AND(#REF!="",G352="Done")</formula>
    </cfRule>
  </conditionalFormatting>
  <pageMargins left="0.7" right="0.7" top="0.75" bottom="0.75" header="0.3" footer="0.3"/>
  <headerFooter>
    <oddFooter>&amp;C_x000D_&amp;1#&amp;"Calibri"&amp;8&amp;K000000 CONFIDENTIAL - DOCUMENT FOR ARCELORMITTAL INTERNAL USE ONLY - Non-distribution outside ArcelorMittal Group  - © ArcelorMittal proprietary information - All rights reserved for all countries. cannot be disclosed, used, or reprodu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2:O42"/>
  <sheetViews>
    <sheetView zoomScaleNormal="100" workbookViewId="0">
      <selection activeCell="F32" sqref="F32"/>
    </sheetView>
  </sheetViews>
  <sheetFormatPr defaultRowHeight="15" x14ac:dyDescent="0.25"/>
  <cols>
    <col min="2" max="2" width="7.28515625" style="1" customWidth="1"/>
    <col min="3" max="3" width="10.140625" style="1" bestFit="1" customWidth="1"/>
    <col min="4" max="4" width="8.85546875" style="1"/>
    <col min="5" max="5" width="13.140625" style="2" customWidth="1"/>
    <col min="6" max="6" width="61.28515625" style="2" customWidth="1"/>
    <col min="7" max="7" width="10" style="1" customWidth="1"/>
    <col min="8" max="8" width="9.5703125" style="1" customWidth="1"/>
    <col min="9" max="9" width="11.7109375" style="7" bestFit="1" customWidth="1"/>
    <col min="10" max="10" width="11.85546875" style="9" customWidth="1"/>
  </cols>
  <sheetData>
    <row r="2" spans="2:15" ht="14.45" x14ac:dyDescent="0.3">
      <c r="B2" s="11" t="s">
        <v>25</v>
      </c>
      <c r="C2" s="11" t="s">
        <v>17</v>
      </c>
      <c r="D2" s="11" t="s">
        <v>16</v>
      </c>
      <c r="E2" s="12" t="s">
        <v>32</v>
      </c>
      <c r="F2" s="11" t="s">
        <v>31</v>
      </c>
      <c r="G2" s="11" t="s">
        <v>7</v>
      </c>
      <c r="H2" s="11" t="s">
        <v>8</v>
      </c>
      <c r="I2" s="15" t="s">
        <v>37</v>
      </c>
      <c r="J2" s="13"/>
      <c r="K2" s="14"/>
      <c r="L2" s="14"/>
      <c r="N2" t="s">
        <v>3</v>
      </c>
      <c r="O2">
        <f>COUNTIF(G3:G12,N2)</f>
        <v>0</v>
      </c>
    </row>
    <row r="3" spans="2:15" thickBot="1" x14ac:dyDescent="0.35">
      <c r="B3" s="35"/>
      <c r="C3" s="52"/>
      <c r="D3" s="21"/>
      <c r="E3" s="50"/>
      <c r="F3" s="54" t="s">
        <v>38</v>
      </c>
      <c r="G3" s="36"/>
      <c r="H3" s="21"/>
      <c r="I3" s="23"/>
      <c r="J3" s="24"/>
      <c r="K3" s="25"/>
      <c r="L3" s="37"/>
    </row>
    <row r="4" spans="2:15" ht="14.45" x14ac:dyDescent="0.3">
      <c r="B4" s="35">
        <f t="shared" ref="B4:B9" si="0">ROW()-2</f>
        <v>2</v>
      </c>
      <c r="C4" s="33" t="s">
        <v>19</v>
      </c>
      <c r="D4" s="27" t="s">
        <v>1</v>
      </c>
      <c r="E4" s="28" t="s">
        <v>13</v>
      </c>
      <c r="F4" s="51" t="s">
        <v>20</v>
      </c>
      <c r="G4" s="27" t="s">
        <v>12</v>
      </c>
      <c r="H4" s="27" t="s">
        <v>29</v>
      </c>
      <c r="I4" s="29">
        <v>45805</v>
      </c>
      <c r="J4" s="30"/>
      <c r="K4" s="31"/>
      <c r="L4" s="32"/>
    </row>
    <row r="5" spans="2:15" ht="14.45" x14ac:dyDescent="0.3">
      <c r="B5" s="35">
        <f t="shared" si="0"/>
        <v>3</v>
      </c>
      <c r="C5" s="34" t="s">
        <v>19</v>
      </c>
      <c r="D5" s="16" t="s">
        <v>1</v>
      </c>
      <c r="E5" s="17" t="s">
        <v>13</v>
      </c>
      <c r="F5" s="4" t="s">
        <v>21</v>
      </c>
      <c r="G5" s="16" t="s">
        <v>12</v>
      </c>
      <c r="H5" s="16" t="s">
        <v>29</v>
      </c>
      <c r="I5" s="18">
        <v>45805</v>
      </c>
      <c r="J5" s="10"/>
      <c r="K5" s="19"/>
      <c r="L5" s="20"/>
    </row>
    <row r="6" spans="2:15" ht="14.45" x14ac:dyDescent="0.3">
      <c r="B6" s="35">
        <f t="shared" si="0"/>
        <v>4</v>
      </c>
      <c r="C6" s="34" t="s">
        <v>19</v>
      </c>
      <c r="D6" s="16" t="s">
        <v>1</v>
      </c>
      <c r="E6" s="17" t="s">
        <v>11</v>
      </c>
      <c r="F6" s="4" t="s">
        <v>14</v>
      </c>
      <c r="G6" s="16" t="s">
        <v>12</v>
      </c>
      <c r="H6" s="16" t="s">
        <v>29</v>
      </c>
      <c r="I6" s="18"/>
      <c r="J6" s="10"/>
      <c r="K6" s="19"/>
      <c r="L6" s="20"/>
    </row>
    <row r="7" spans="2:15" thickBot="1" x14ac:dyDescent="0.35">
      <c r="B7" s="35">
        <f t="shared" si="0"/>
        <v>5</v>
      </c>
      <c r="C7" s="34" t="s">
        <v>19</v>
      </c>
      <c r="D7" s="16" t="s">
        <v>1</v>
      </c>
      <c r="E7" s="17" t="s">
        <v>13</v>
      </c>
      <c r="F7" s="4" t="s">
        <v>362</v>
      </c>
      <c r="G7" s="16" t="s">
        <v>12</v>
      </c>
      <c r="H7" s="16" t="s">
        <v>29</v>
      </c>
      <c r="I7" s="18">
        <v>45775</v>
      </c>
      <c r="J7" s="10"/>
      <c r="K7" s="19"/>
      <c r="L7" s="20"/>
    </row>
    <row r="8" spans="2:15" ht="14.45" x14ac:dyDescent="0.3">
      <c r="B8" s="35">
        <f t="shared" si="0"/>
        <v>6</v>
      </c>
      <c r="C8" s="59" t="s">
        <v>18</v>
      </c>
      <c r="D8" s="60" t="s">
        <v>1</v>
      </c>
      <c r="E8" s="55" t="s">
        <v>9</v>
      </c>
      <c r="F8" s="55" t="s">
        <v>27</v>
      </c>
      <c r="G8" s="60" t="s">
        <v>28</v>
      </c>
      <c r="H8" s="60" t="s">
        <v>29</v>
      </c>
      <c r="I8" s="61">
        <v>45572</v>
      </c>
      <c r="J8" s="62"/>
      <c r="K8" s="63"/>
      <c r="L8" s="64"/>
    </row>
    <row r="9" spans="2:15" thickBot="1" x14ac:dyDescent="0.35">
      <c r="B9" s="35">
        <f t="shared" si="0"/>
        <v>7</v>
      </c>
      <c r="C9" s="65" t="s">
        <v>19</v>
      </c>
      <c r="D9" s="66" t="s">
        <v>1</v>
      </c>
      <c r="E9" s="67" t="s">
        <v>9</v>
      </c>
      <c r="F9" s="67" t="s">
        <v>445</v>
      </c>
      <c r="G9" s="66" t="s">
        <v>28</v>
      </c>
      <c r="H9" s="66" t="s">
        <v>29</v>
      </c>
      <c r="I9" s="68"/>
      <c r="J9" s="69"/>
      <c r="K9" s="70"/>
      <c r="L9" s="71"/>
    </row>
    <row r="10" spans="2:15" ht="14.45" x14ac:dyDescent="0.3">
      <c r="B10" s="35">
        <f t="shared" ref="B10:B12" si="1">ROW()-2</f>
        <v>8</v>
      </c>
      <c r="C10" s="33" t="s">
        <v>19</v>
      </c>
      <c r="D10" s="27" t="s">
        <v>1</v>
      </c>
      <c r="E10" s="28" t="s">
        <v>13</v>
      </c>
      <c r="F10" s="51" t="s">
        <v>33</v>
      </c>
      <c r="G10" s="27" t="s">
        <v>30</v>
      </c>
      <c r="H10" s="27" t="s">
        <v>29</v>
      </c>
      <c r="I10" s="29"/>
      <c r="J10" s="30"/>
      <c r="K10" s="31"/>
      <c r="L10" s="32"/>
    </row>
    <row r="11" spans="2:15" ht="14.45" x14ac:dyDescent="0.3">
      <c r="B11" s="35">
        <f t="shared" si="1"/>
        <v>9</v>
      </c>
      <c r="C11" s="38" t="s">
        <v>19</v>
      </c>
      <c r="D11" s="39" t="s">
        <v>1</v>
      </c>
      <c r="E11" s="40" t="s">
        <v>446</v>
      </c>
      <c r="F11" s="4" t="s">
        <v>382</v>
      </c>
      <c r="G11" s="39" t="s">
        <v>30</v>
      </c>
      <c r="H11" s="39" t="s">
        <v>29</v>
      </c>
      <c r="I11" s="41" t="e">
        <f>#REF!</f>
        <v>#REF!</v>
      </c>
      <c r="J11" s="42"/>
      <c r="K11" s="43"/>
      <c r="L11" s="44"/>
    </row>
    <row r="12" spans="2:15" thickBot="1" x14ac:dyDescent="0.35">
      <c r="B12" s="35">
        <f t="shared" si="1"/>
        <v>10</v>
      </c>
      <c r="C12" s="36" t="s">
        <v>19</v>
      </c>
      <c r="D12" s="21" t="s">
        <v>1</v>
      </c>
      <c r="E12" s="22" t="s">
        <v>13</v>
      </c>
      <c r="F12" s="53" t="s">
        <v>36</v>
      </c>
      <c r="G12" s="21" t="s">
        <v>30</v>
      </c>
      <c r="H12" s="21" t="s">
        <v>29</v>
      </c>
      <c r="I12" s="23"/>
      <c r="J12" s="24"/>
      <c r="K12" s="25"/>
      <c r="L12" s="26"/>
    </row>
    <row r="21" spans="3:6" ht="14.45" x14ac:dyDescent="0.3">
      <c r="C21" s="6">
        <v>46066</v>
      </c>
      <c r="E21" s="2" t="s">
        <v>246</v>
      </c>
      <c r="F21" s="2" t="s">
        <v>135</v>
      </c>
    </row>
    <row r="22" spans="3:6" ht="14.45" x14ac:dyDescent="0.3">
      <c r="C22" s="6">
        <v>46066</v>
      </c>
      <c r="E22" s="2" t="s">
        <v>291</v>
      </c>
      <c r="F22" s="2" t="s">
        <v>179</v>
      </c>
    </row>
    <row r="23" spans="3:6" ht="14.45" x14ac:dyDescent="0.3">
      <c r="C23" s="6">
        <v>46066</v>
      </c>
      <c r="E23" s="2" t="s">
        <v>197</v>
      </c>
      <c r="F23" s="2" t="s">
        <v>62</v>
      </c>
    </row>
    <row r="24" spans="3:6" ht="14.45" x14ac:dyDescent="0.3">
      <c r="C24" s="6">
        <v>46066</v>
      </c>
      <c r="E24" s="2" t="s">
        <v>204</v>
      </c>
      <c r="F24" s="2" t="s">
        <v>69</v>
      </c>
    </row>
    <row r="25" spans="3:6" ht="14.45" x14ac:dyDescent="0.3">
      <c r="C25" s="6">
        <v>46066</v>
      </c>
      <c r="E25" s="2" t="s">
        <v>292</v>
      </c>
      <c r="F25" s="2" t="s">
        <v>539</v>
      </c>
    </row>
    <row r="26" spans="3:6" ht="14.45" x14ac:dyDescent="0.3">
      <c r="C26" s="6">
        <v>46068</v>
      </c>
      <c r="E26" s="2" t="s">
        <v>210</v>
      </c>
      <c r="F26" s="2" t="s">
        <v>75</v>
      </c>
    </row>
    <row r="27" spans="3:6" ht="14.45" x14ac:dyDescent="0.3">
      <c r="C27" s="6">
        <v>46070</v>
      </c>
      <c r="E27" s="2" t="s">
        <v>220</v>
      </c>
      <c r="F27" s="2" t="s">
        <v>83</v>
      </c>
    </row>
    <row r="28" spans="3:6" ht="14.45" x14ac:dyDescent="0.3">
      <c r="C28" s="6">
        <v>46076</v>
      </c>
      <c r="E28" s="2" t="s">
        <v>251</v>
      </c>
      <c r="F28" s="2" t="s">
        <v>140</v>
      </c>
    </row>
    <row r="29" spans="3:6" ht="14.45" x14ac:dyDescent="0.3">
      <c r="C29" s="6">
        <v>46076</v>
      </c>
      <c r="E29" s="2" t="s">
        <v>253</v>
      </c>
      <c r="F29" s="2" t="s">
        <v>142</v>
      </c>
    </row>
    <row r="30" spans="3:6" ht="14.45" x14ac:dyDescent="0.3">
      <c r="C30" s="6">
        <v>46076</v>
      </c>
      <c r="E30" s="2" t="s">
        <v>191</v>
      </c>
      <c r="F30" s="2" t="s">
        <v>56</v>
      </c>
    </row>
    <row r="31" spans="3:6" ht="14.45" x14ac:dyDescent="0.3">
      <c r="C31" s="6">
        <v>46076</v>
      </c>
      <c r="E31" s="2" t="s">
        <v>208</v>
      </c>
      <c r="F31" s="2" t="s">
        <v>73</v>
      </c>
    </row>
    <row r="32" spans="3:6" ht="14.45" x14ac:dyDescent="0.3">
      <c r="C32" s="6">
        <v>46076</v>
      </c>
      <c r="E32" s="2" t="s">
        <v>190</v>
      </c>
      <c r="F32" s="2" t="s">
        <v>55</v>
      </c>
    </row>
    <row r="33" spans="3:6" ht="14.45" x14ac:dyDescent="0.3">
      <c r="C33" s="6">
        <v>46076</v>
      </c>
      <c r="E33" s="2" t="s">
        <v>200</v>
      </c>
      <c r="F33" s="2" t="s">
        <v>65</v>
      </c>
    </row>
    <row r="34" spans="3:6" ht="14.45" x14ac:dyDescent="0.3">
      <c r="C34" s="6">
        <v>46079</v>
      </c>
      <c r="E34" s="2" t="s">
        <v>209</v>
      </c>
      <c r="F34" s="2" t="s">
        <v>74</v>
      </c>
    </row>
    <row r="35" spans="3:6" ht="14.45" x14ac:dyDescent="0.3">
      <c r="C35" s="6">
        <v>46081</v>
      </c>
      <c r="E35" s="2" t="s">
        <v>491</v>
      </c>
      <c r="F35" s="2" t="s">
        <v>495</v>
      </c>
    </row>
    <row r="36" spans="3:6" ht="14.45" x14ac:dyDescent="0.3">
      <c r="C36" s="6">
        <v>46081</v>
      </c>
      <c r="E36" s="2" t="s">
        <v>492</v>
      </c>
      <c r="F36" s="2" t="s">
        <v>495</v>
      </c>
    </row>
    <row r="37" spans="3:6" ht="14.45" x14ac:dyDescent="0.3">
      <c r="C37" s="6">
        <v>46081</v>
      </c>
      <c r="E37" s="2" t="s">
        <v>245</v>
      </c>
      <c r="F37" s="2" t="s">
        <v>134</v>
      </c>
    </row>
    <row r="38" spans="3:6" ht="14.45" x14ac:dyDescent="0.3">
      <c r="C38" s="6">
        <v>46081</v>
      </c>
      <c r="E38" s="2" t="s">
        <v>289</v>
      </c>
      <c r="F38" s="2" t="s">
        <v>177</v>
      </c>
    </row>
    <row r="39" spans="3:6" ht="14.45" x14ac:dyDescent="0.3">
      <c r="C39" s="6">
        <v>46081</v>
      </c>
      <c r="E39" s="2" t="s">
        <v>391</v>
      </c>
      <c r="F39" s="2" t="s">
        <v>178</v>
      </c>
    </row>
    <row r="40" spans="3:6" x14ac:dyDescent="0.25">
      <c r="C40" s="6">
        <v>46081</v>
      </c>
      <c r="E40" s="2" t="s">
        <v>493</v>
      </c>
      <c r="F40" s="2" t="s">
        <v>496</v>
      </c>
    </row>
    <row r="41" spans="3:6" x14ac:dyDescent="0.25">
      <c r="C41" s="6">
        <v>46081</v>
      </c>
      <c r="E41" s="2" t="s">
        <v>494</v>
      </c>
      <c r="F41" s="2" t="s">
        <v>497</v>
      </c>
    </row>
    <row r="42" spans="3:6" x14ac:dyDescent="0.25">
      <c r="C42" s="6">
        <v>46081</v>
      </c>
      <c r="E42" s="2" t="s">
        <v>290</v>
      </c>
      <c r="F42" s="2" t="s">
        <v>178</v>
      </c>
    </row>
  </sheetData>
  <autoFilter ref="B2:L12"/>
  <phoneticPr fontId="1" type="noConversion"/>
  <conditionalFormatting sqref="F3:F12">
    <cfRule type="expression" dxfId="1" priority="5">
      <formula>$I3&lt;TODAY()</formula>
    </cfRule>
  </conditionalFormatting>
  <conditionalFormatting sqref="I3:I12">
    <cfRule type="cellIs" dxfId="0" priority="24" operator="lessThan">
      <formula>TODAY()+3</formula>
    </cfRule>
  </conditionalFormatting>
  <pageMargins left="0.7" right="0.7" top="0.75" bottom="0.75" header="0.3" footer="0.3"/>
  <headerFooter>
    <oddFooter>&amp;C_x000D_&amp;1#&amp;"Calibri"&amp;8&amp;K000000 CONFIDENTIAL - DOCUMENT FOR ARCELORMITTAL INTERNAL USE ONLY - Non-distribution outside ArcelorMittal Group  - © ArcelorMittal proprietary information - All rights reserved for all countries. cannot be disclosed, used, or reprodu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E5768A-5085-4DDC-9570-8C51C28F15B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799e7bb-240f-415b-b3db-c8d335c250bb}" enabled="1" method="Privileged" siteId="{37cd273a-1cec-4aae-a297-41480ea54f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list</vt:lpstr>
      <vt:lpstr>NA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Takolia, Chirag - AM/NS India - Tandem Mill (HAZ)</dc:creator>
  <cp:lastModifiedBy>Admin</cp:lastModifiedBy>
  <cp:lastPrinted>2025-07-15T03:45:48Z</cp:lastPrinted>
  <dcterms:created xsi:type="dcterms:W3CDTF">2015-06-05T18:17:20Z</dcterms:created>
  <dcterms:modified xsi:type="dcterms:W3CDTF">2026-10-24T17:09:17Z</dcterms:modified>
</cp:coreProperties>
</file>